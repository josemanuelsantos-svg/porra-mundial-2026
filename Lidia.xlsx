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autoCompressPictures="0" defaultThemeVersion="124226"/>
  <mc:AlternateContent xmlns:mc="http://schemas.openxmlformats.org/markup-compatibility/2006">
    <mc:Choice Requires="x15">
      <x15ac:absPath xmlns:x15ac="http://schemas.microsoft.com/office/spreadsheetml/2010/11/ac" url="Z:\Z Lidia&amp;8pi\Downloads\Telegram Desktop\"/>
    </mc:Choice>
  </mc:AlternateContent>
  <xr:revisionPtr revIDLastSave="0" documentId="8_{18556084-7C00-4637-BB6D-B39817C90981}"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4240" windowHeight="130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AA154" i="3"/>
  <c r="C253" i="31" s="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AA158" i="3"/>
  <c r="C256" i="31" s="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76"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57" i="3"/>
  <c r="X134" i="3"/>
  <c r="X54" i="3"/>
  <c r="Y12" i="3"/>
  <c r="Y88" i="3"/>
  <c r="X93" i="3"/>
  <c r="Y84" i="3"/>
  <c r="X60" i="3"/>
  <c r="Y33" i="3"/>
  <c r="X69" i="3"/>
  <c r="X131" i="3" l="1"/>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BW29" i="3" s="1"/>
  <c r="F92" i="3"/>
  <c r="F95" i="3"/>
  <c r="E97" i="3"/>
  <c r="BV52" i="3" s="1"/>
  <c r="F81" i="3"/>
  <c r="E76" i="3"/>
  <c r="BW43" i="3" s="1"/>
  <c r="E78" i="3"/>
  <c r="BW44" i="3" s="1"/>
  <c r="E48" i="3"/>
  <c r="F44" i="3"/>
  <c r="F47" i="3"/>
  <c r="E38" i="3"/>
  <c r="BW24" i="3" s="1"/>
  <c r="F41" i="3"/>
  <c r="BU25" i="3" s="1"/>
  <c r="E36" i="3"/>
  <c r="BW23" i="3" s="1"/>
  <c r="E39" i="3"/>
  <c r="F37" i="3"/>
  <c r="BU24" i="3" s="1"/>
  <c r="E41" i="3"/>
  <c r="BW22" i="3" s="1"/>
  <c r="BU34" i="3"/>
  <c r="BW34" i="3"/>
  <c r="E62" i="3"/>
  <c r="BW36" i="3" s="1"/>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E61" i="3"/>
  <c r="BW37" i="3" s="1"/>
  <c r="F62" i="3"/>
  <c r="BU36" i="3"/>
  <c r="F64" i="3"/>
  <c r="BU35" i="3" s="1"/>
  <c r="F72" i="3"/>
  <c r="BU41" i="3" s="1"/>
  <c r="E68" i="3"/>
  <c r="BW38" i="3"/>
  <c r="E70" i="3"/>
  <c r="BU30" i="3" l="1"/>
  <c r="BW39" i="3"/>
  <c r="BU22" i="3"/>
  <c r="BU27" i="3"/>
  <c r="BW40" i="3"/>
  <c r="BW53" i="3"/>
  <c r="BU42" i="3"/>
  <c r="BV50" i="3"/>
  <c r="BV51" i="3"/>
  <c r="BX51" i="3" s="1"/>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30"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2" i="3"/>
  <c r="I20" i="3"/>
  <c r="H6" i="3"/>
  <c r="H78" i="3"/>
  <c r="I24" i="3"/>
  <c r="H23" i="3"/>
  <c r="H20" i="3"/>
  <c r="H8" i="3" l="1"/>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4" i="3"/>
  <c r="L87" i="3"/>
  <c r="K24" i="3"/>
  <c r="L13" i="3" l="1"/>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0"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N56" i="3"/>
  <c r="CI36" i="3"/>
  <c r="N61" i="3"/>
  <c r="N96" i="3"/>
  <c r="O97" i="3"/>
  <c r="O93" i="3"/>
  <c r="N95" i="3"/>
  <c r="CI30" i="3" l="1"/>
  <c r="O47" i="3"/>
  <c r="CK36" i="3"/>
  <c r="O44" i="3"/>
  <c r="O64" i="3"/>
  <c r="O95" i="3"/>
  <c r="CI42"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N37" i="3"/>
  <c r="CK25" i="3" s="1"/>
  <c r="N8" i="3"/>
  <c r="CI6" i="3" s="1"/>
  <c r="CK22" i="3"/>
  <c r="CK41" i="3"/>
  <c r="O52" i="3"/>
  <c r="N97" i="3"/>
  <c r="O77" i="3"/>
  <c r="CI44" i="3" s="1"/>
  <c r="N80" i="3"/>
  <c r="N55" i="3"/>
  <c r="CI31" i="3" s="1"/>
  <c r="N81" i="3"/>
  <c r="N84" i="3"/>
  <c r="CI45" i="3"/>
  <c r="O5" i="3"/>
  <c r="CI8" i="3" s="1"/>
  <c r="N47" i="3"/>
  <c r="CI27" i="3" s="1"/>
  <c r="CK46" i="3"/>
  <c r="CI33" i="3"/>
  <c r="O53" i="3"/>
  <c r="O79" i="3"/>
  <c r="N6" i="3"/>
  <c r="N86" i="3"/>
  <c r="O32" i="3"/>
  <c r="CI21" i="3" s="1"/>
  <c r="CI12" i="3"/>
  <c r="CI43" i="3"/>
  <c r="N88" i="3"/>
  <c r="N30" i="3"/>
  <c r="CK20" i="3" s="1"/>
  <c r="CI25" i="3"/>
  <c r="CK6" i="3"/>
  <c r="CK18" i="3"/>
  <c r="CI18" i="3"/>
  <c r="N73" i="3"/>
  <c r="CI34" i="3"/>
  <c r="CI49" i="3"/>
  <c r="N15" i="3"/>
  <c r="CK12" i="3" s="1"/>
  <c r="CI37" i="3"/>
  <c r="CI11" i="3"/>
  <c r="O96" i="3"/>
  <c r="CJ53" i="3" s="1"/>
  <c r="CL53" i="3" s="1"/>
  <c r="CK34" i="3"/>
  <c r="CK8" i="3"/>
  <c r="CI39" i="3"/>
  <c r="CK30" i="3"/>
  <c r="N68" i="3"/>
  <c r="CK39" i="3" s="1"/>
  <c r="CK50" i="3"/>
  <c r="O40" i="3"/>
  <c r="O15" i="3"/>
  <c r="CI10" i="3" s="1"/>
  <c r="N65" i="3"/>
  <c r="O9" i="3"/>
  <c r="CI7" i="3" s="1"/>
  <c r="CI23" i="3"/>
  <c r="O36" i="3"/>
  <c r="CJ22" i="3" s="1"/>
  <c r="O61" i="3"/>
  <c r="CJ36" i="3" s="1"/>
  <c r="CL36" i="3" s="1"/>
  <c r="CI47" i="3"/>
  <c r="N13" i="3"/>
  <c r="O68" i="3"/>
  <c r="O57" i="3"/>
  <c r="O65" i="3"/>
  <c r="CK37" i="3" s="1"/>
  <c r="N40" i="3"/>
  <c r="O31" i="3"/>
  <c r="CJ21" i="3" s="1"/>
  <c r="N92" i="3"/>
  <c r="CK51" i="3" s="1"/>
  <c r="N77" i="3"/>
  <c r="CK45" i="3" s="1"/>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6" i="3" s="1"/>
  <c r="CI28" i="3"/>
  <c r="O21" i="3"/>
  <c r="CI16" i="3" s="1"/>
  <c r="N45" i="3"/>
  <c r="CK29" i="3" s="1"/>
  <c r="CK32" i="3"/>
  <c r="N16" i="3"/>
  <c r="CK10" i="3" s="1"/>
  <c r="CI48" i="3"/>
  <c r="CK26" i="3"/>
  <c r="CJ48" i="3"/>
  <c r="O20" i="3"/>
  <c r="N33" i="3"/>
  <c r="N69" i="3"/>
  <c r="O73" i="3"/>
  <c r="O60" i="3"/>
  <c r="O63" i="3"/>
  <c r="CI40" i="3"/>
  <c r="O70" i="3"/>
  <c r="CK17" i="3"/>
  <c r="N22" i="3"/>
  <c r="CK42" i="3"/>
  <c r="N78" i="3"/>
  <c r="CK44" i="3" s="1"/>
  <c r="O81" i="3"/>
  <c r="N14" i="3"/>
  <c r="CK11" i="3" s="1"/>
  <c r="CK13" i="3"/>
  <c r="N23" i="3"/>
  <c r="N20" i="3"/>
  <c r="O24" i="3"/>
  <c r="N17" i="3"/>
  <c r="O14" i="3"/>
  <c r="CI13" i="3" s="1"/>
  <c r="CK33" i="3"/>
  <c r="CK53" i="3"/>
  <c r="CK14" i="3"/>
  <c r="CK49" i="3"/>
  <c r="CK31" i="3"/>
  <c r="CI15" i="3" l="1"/>
  <c r="CK23" i="3"/>
  <c r="CI14" i="3"/>
  <c r="CI38" i="3"/>
  <c r="CK43" i="3"/>
  <c r="CI41" i="3"/>
  <c r="CI22" i="3"/>
  <c r="CL22" i="3" s="1"/>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5" i="3" l="1"/>
  <c r="CL38" i="3"/>
  <c r="CM53" i="3" s="1"/>
  <c r="CL14" i="3"/>
  <c r="CM43" i="3"/>
  <c r="CM20" i="3"/>
  <c r="CM44" i="3"/>
  <c r="CM19" i="3"/>
  <c r="CM24" i="3"/>
  <c r="CM11" i="3"/>
  <c r="CM13" i="3"/>
  <c r="CM12" i="3"/>
  <c r="CM10" i="3"/>
  <c r="CM32" i="3"/>
  <c r="CM9" i="3"/>
  <c r="CM8" i="3"/>
  <c r="CM7" i="3"/>
  <c r="CM6" i="3"/>
  <c r="CM29" i="3"/>
  <c r="CM39" i="3"/>
  <c r="CM41" i="3"/>
  <c r="CM51" i="3"/>
  <c r="CM36" i="3"/>
  <c r="CM27" i="3"/>
  <c r="CM25" i="3"/>
  <c r="CM23" i="3"/>
  <c r="CM52" i="3"/>
  <c r="CM37" i="3"/>
  <c r="CM42" i="3" l="1"/>
  <c r="CM15" i="3"/>
  <c r="CM35" i="3"/>
  <c r="CM38" i="3"/>
  <c r="CM30" i="3"/>
  <c r="CM14" i="3"/>
  <c r="CM47" i="3"/>
  <c r="CM31" i="3"/>
  <c r="CM21" i="3"/>
  <c r="CM33" i="3"/>
  <c r="CM17" i="3"/>
  <c r="CM28" i="3"/>
  <c r="CM26" i="3"/>
  <c r="CM49" i="3"/>
  <c r="CM18" i="3"/>
  <c r="CM22" i="3"/>
  <c r="CM34" i="3"/>
  <c r="CM16" i="3"/>
  <c r="CM40" i="3"/>
  <c r="CM48" i="3"/>
  <c r="CM46" i="3"/>
  <c r="CM50" i="3"/>
  <c r="CM45" i="3"/>
  <c r="CN10" i="3" l="1"/>
  <c r="Q15" i="3" s="1"/>
  <c r="CN8" i="3"/>
  <c r="Q5" i="3" s="1"/>
  <c r="CN39" i="3"/>
  <c r="R71" i="3" s="1"/>
  <c r="CN52" i="3"/>
  <c r="R97" i="3" s="1"/>
  <c r="CN24" i="3"/>
  <c r="Q37" i="3" s="1"/>
  <c r="CN27" i="3"/>
  <c r="R47" i="3" s="1"/>
  <c r="CN29" i="3"/>
  <c r="Q47" i="3" s="1"/>
  <c r="CN9" i="3"/>
  <c r="Q6" i="3" s="1"/>
  <c r="CN6" i="3"/>
  <c r="Q7" i="3" s="1"/>
  <c r="CN15" i="3"/>
  <c r="Q25" i="3" s="1"/>
  <c r="CN45" i="3"/>
  <c r="Q79" i="3" s="1"/>
  <c r="CN40" i="3"/>
  <c r="R73" i="3" s="1"/>
  <c r="CN35" i="3"/>
  <c r="R63" i="3" s="1"/>
  <c r="CN20" i="3"/>
  <c r="R33" i="3" s="1"/>
  <c r="CN41" i="3"/>
  <c r="Q71" i="3" s="1"/>
  <c r="CN11" i="3"/>
  <c r="R14" i="3" s="1"/>
  <c r="CN50" i="3"/>
  <c r="Q94" i="3" s="1"/>
  <c r="CN31" i="3"/>
  <c r="R52" i="3" s="1"/>
  <c r="CN53" i="3"/>
  <c r="Q95" i="3" s="1"/>
  <c r="CN22" i="3"/>
  <c r="Q36" i="3" s="1"/>
  <c r="CN17" i="3"/>
  <c r="Q24" i="3" s="1"/>
  <c r="CN18" i="3"/>
  <c r="Q28" i="3" s="1"/>
  <c r="CN30" i="3"/>
  <c r="R57" i="3" s="1"/>
  <c r="CN34" i="3"/>
  <c r="R65" i="3" s="1"/>
  <c r="CN16" i="3"/>
  <c r="R25" i="3" s="1"/>
  <c r="CN46" i="3"/>
  <c r="Q84" i="3" s="1"/>
  <c r="CN23" i="3"/>
  <c r="R36" i="3" s="1"/>
  <c r="CN13" i="3"/>
  <c r="R13" i="3" s="1"/>
  <c r="CN12" i="3"/>
  <c r="R15" i="3" s="1"/>
  <c r="CN42" i="3"/>
  <c r="Q76" i="3" s="1"/>
  <c r="CN28" i="3"/>
  <c r="R46" i="3" s="1"/>
  <c r="CN19" i="3"/>
  <c r="Q33" i="3" s="1"/>
  <c r="CN7" i="3"/>
  <c r="R4" i="3" s="1"/>
  <c r="CN44" i="3"/>
  <c r="R80" i="3" s="1"/>
  <c r="CN37" i="3"/>
  <c r="R61" i="3" s="1"/>
  <c r="CN51" i="3"/>
  <c r="R92" i="3" s="1"/>
  <c r="CN49" i="3"/>
  <c r="Q87" i="3" s="1"/>
  <c r="CN26" i="3"/>
  <c r="Q44" i="3" s="1"/>
  <c r="CN14" i="3"/>
  <c r="Q20" i="3" s="1"/>
  <c r="CN21" i="3"/>
  <c r="Q32" i="3" s="1"/>
  <c r="CN43" i="3"/>
  <c r="R76" i="3" s="1"/>
  <c r="CN33" i="3"/>
  <c r="Q57" i="3" s="1"/>
  <c r="CN38" i="3"/>
  <c r="Q70" i="3" s="1"/>
  <c r="CN48" i="3"/>
  <c r="R86" i="3" s="1"/>
  <c r="CN47" i="3"/>
  <c r="Q89" i="3" s="1"/>
  <c r="CN36" i="3"/>
  <c r="R64" i="3" s="1"/>
  <c r="CN32" i="3"/>
  <c r="Q53" i="3" s="1"/>
  <c r="CN25" i="3"/>
  <c r="R37" i="3" s="1"/>
  <c r="R40" i="3"/>
  <c r="R81" i="3"/>
  <c r="Q96" i="3"/>
  <c r="R44" i="3"/>
  <c r="R32" i="3"/>
  <c r="R69" i="3"/>
  <c r="Q12" i="3"/>
  <c r="R16" i="3"/>
  <c r="R55" i="3"/>
  <c r="R93" i="3"/>
  <c r="R7" i="3"/>
  <c r="R88" i="3"/>
  <c r="Q56" i="3"/>
  <c r="R77" i="3"/>
  <c r="R21" i="3"/>
  <c r="CP12" i="3"/>
  <c r="R9" i="3"/>
  <c r="Q29" i="3"/>
  <c r="Q81" i="3"/>
  <c r="CP42" i="3" s="1"/>
  <c r="R8" i="3"/>
  <c r="Q4" i="3"/>
  <c r="R68" i="3" l="1"/>
  <c r="Q54" i="3"/>
  <c r="R45" i="3"/>
  <c r="Q72" i="3"/>
  <c r="CP23" i="3"/>
  <c r="Q73" i="3"/>
  <c r="CP45" i="3"/>
  <c r="Q49" i="3"/>
  <c r="Q45" i="3"/>
  <c r="R5" i="3"/>
  <c r="CO8" i="3" s="1"/>
  <c r="R94" i="3"/>
  <c r="CO9" i="3"/>
  <c r="Q63" i="3"/>
  <c r="Q65" i="3"/>
  <c r="Q40" i="3"/>
  <c r="Q69" i="3"/>
  <c r="Q93" i="3"/>
  <c r="Q17" i="3"/>
  <c r="Q14" i="3"/>
  <c r="CO22" i="3"/>
  <c r="Q8" i="3"/>
  <c r="Q38" i="3"/>
  <c r="R29" i="3"/>
  <c r="R12" i="3"/>
  <c r="R41" i="3"/>
  <c r="R28" i="3"/>
  <c r="R70" i="3"/>
  <c r="Q62" i="3"/>
  <c r="R95" i="3"/>
  <c r="Q60" i="3"/>
  <c r="Q31" i="3"/>
  <c r="CO19" i="3" s="1"/>
  <c r="Q16" i="3"/>
  <c r="Q97" i="3"/>
  <c r="R31" i="3"/>
  <c r="Q64" i="3"/>
  <c r="Q92" i="3"/>
  <c r="CP51" i="3" s="1"/>
  <c r="CO12" i="3"/>
  <c r="R17" i="3"/>
  <c r="CO23" i="3"/>
  <c r="Q88" i="3"/>
  <c r="Q22" i="3"/>
  <c r="CO15" i="3" s="1"/>
  <c r="R96" i="3"/>
  <c r="Q21" i="3"/>
  <c r="Q80" i="3"/>
  <c r="Q9" i="3"/>
  <c r="CO47" i="3"/>
  <c r="CP47" i="3"/>
  <c r="R60" i="3"/>
  <c r="Q52" i="3"/>
  <c r="CP50" i="3"/>
  <c r="Q13" i="3"/>
  <c r="R39" i="3"/>
  <c r="R85" i="3"/>
  <c r="R23" i="3"/>
  <c r="R79" i="3"/>
  <c r="CO45" i="3" s="1"/>
  <c r="R38" i="3"/>
  <c r="CP22" i="3" s="1"/>
  <c r="R6" i="3"/>
  <c r="Q48" i="3"/>
  <c r="R22" i="3"/>
  <c r="Q46" i="3"/>
  <c r="R20" i="3"/>
  <c r="CP14" i="3" s="1"/>
  <c r="R30" i="3"/>
  <c r="CO18" i="3" s="1"/>
  <c r="Q86" i="3"/>
  <c r="Q68" i="3"/>
  <c r="CP39" i="3" s="1"/>
  <c r="Q78" i="3"/>
  <c r="R49" i="3"/>
  <c r="Q30" i="3"/>
  <c r="CP20" i="3" s="1"/>
  <c r="CO43" i="3"/>
  <c r="CP43" i="3"/>
  <c r="R56" i="3"/>
  <c r="R48" i="3"/>
  <c r="CO27" i="3" s="1"/>
  <c r="R72" i="3"/>
  <c r="Q23" i="3"/>
  <c r="R24" i="3"/>
  <c r="R84" i="3"/>
  <c r="R87" i="3"/>
  <c r="R54" i="3"/>
  <c r="Q77" i="3"/>
  <c r="R78" i="3"/>
  <c r="R53" i="3"/>
  <c r="Q85" i="3"/>
  <c r="R89" i="3"/>
  <c r="CP33" i="3"/>
  <c r="Q55" i="3"/>
  <c r="R62" i="3"/>
  <c r="Q61" i="3"/>
  <c r="CP37" i="3" s="1"/>
  <c r="Q39" i="3"/>
  <c r="Q41" i="3"/>
  <c r="CP53" i="3"/>
  <c r="CO26" i="3"/>
  <c r="CO53" i="3"/>
  <c r="CO35" i="3"/>
  <c r="CP49" i="3"/>
  <c r="CP35" i="3"/>
  <c r="CP34" i="3"/>
  <c r="CP48" i="3"/>
  <c r="CO24" i="3"/>
  <c r="CP38" i="3"/>
  <c r="CP46" i="3"/>
  <c r="CO34" i="3"/>
  <c r="CO50" i="3"/>
  <c r="CQ50" i="3" s="1"/>
  <c r="CQ22" i="3"/>
  <c r="CP40" i="3"/>
  <c r="CO46" i="3"/>
  <c r="CP24" i="3"/>
  <c r="CO21" i="3"/>
  <c r="CO40" i="3"/>
  <c r="CO49" i="3"/>
  <c r="CO48" i="3"/>
  <c r="CO11" i="3"/>
  <c r="CO38" i="3"/>
  <c r="CP32" i="3"/>
  <c r="CP16" i="3"/>
  <c r="CO42" i="3"/>
  <c r="CQ42" i="3" s="1"/>
  <c r="CO32" i="3"/>
  <c r="CP28" i="3"/>
  <c r="CP17" i="3"/>
  <c r="CO28" i="3"/>
  <c r="CP26" i="3"/>
  <c r="CQ26" i="3" s="1"/>
  <c r="CP9" i="3"/>
  <c r="CQ9" i="3" s="1"/>
  <c r="CP13" i="3"/>
  <c r="CO17" i="3"/>
  <c r="CP21" i="3"/>
  <c r="CP18" i="3"/>
  <c r="CQ18" i="3" s="1"/>
  <c r="CO16"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Q45" i="3"/>
  <c r="CQ53" i="3"/>
  <c r="CQ47" i="3"/>
  <c r="CO14" i="3" l="1"/>
  <c r="CP15" i="3"/>
  <c r="CP11" i="3"/>
  <c r="CQ11" i="3" s="1"/>
  <c r="CP19" i="3"/>
  <c r="CQ19" i="3" s="1"/>
  <c r="CO20" i="3"/>
  <c r="CQ20" i="3" s="1"/>
  <c r="CO36" i="3"/>
  <c r="CO10" i="3"/>
  <c r="CP36" i="3"/>
  <c r="CP10" i="3"/>
  <c r="CQ15" i="3"/>
  <c r="CQ43" i="3"/>
  <c r="CP44" i="3"/>
  <c r="CP31" i="3"/>
  <c r="CO44" i="3"/>
  <c r="CO31" i="3"/>
  <c r="CO37" i="3"/>
  <c r="CQ37" i="3" s="1"/>
  <c r="CO30" i="3"/>
  <c r="CP30" i="3"/>
  <c r="CQ35" i="3"/>
  <c r="CQ49" i="3"/>
  <c r="CQ24" i="3"/>
  <c r="CQ48" i="3"/>
  <c r="CQ34" i="3"/>
  <c r="CQ14" i="3"/>
  <c r="CQ21" i="3"/>
  <c r="CQ46" i="3"/>
  <c r="CQ16" i="3"/>
  <c r="CQ40" i="3"/>
  <c r="CQ38" i="3"/>
  <c r="CQ32" i="3"/>
  <c r="CQ28" i="3"/>
  <c r="CQ13" i="3"/>
  <c r="CQ17" i="3"/>
  <c r="CQ7" i="3"/>
  <c r="CQ6" i="3"/>
  <c r="CQ41" i="3"/>
  <c r="CQ52" i="3"/>
  <c r="CQ29" i="3"/>
  <c r="CQ25" i="3"/>
  <c r="CQ36" i="3" l="1"/>
  <c r="CQ10" i="3"/>
  <c r="CQ44" i="3"/>
  <c r="CQ31" i="3"/>
  <c r="CQ30" i="3"/>
  <c r="CR50" i="3"/>
  <c r="CR53" i="3"/>
  <c r="CR47" i="3"/>
  <c r="CR48" i="3"/>
  <c r="CR21" i="3"/>
  <c r="CR26" i="3"/>
  <c r="CR41" i="3"/>
  <c r="CR49" i="3"/>
  <c r="CR45" i="3"/>
  <c r="CR44" i="3"/>
  <c r="CR43" i="3"/>
  <c r="CR42" i="3"/>
  <c r="CR38" i="3"/>
  <c r="CR33" i="3"/>
  <c r="CR40" i="3"/>
  <c r="CR39" i="3"/>
  <c r="CR19" i="3"/>
  <c r="CR35" i="3"/>
  <c r="CR34" i="3"/>
  <c r="CR24" i="3"/>
  <c r="CR36" i="3"/>
  <c r="CR22" i="3"/>
  <c r="CR28" i="3"/>
  <c r="CR17" i="3"/>
  <c r="CR20" i="3"/>
  <c r="CR16" i="3"/>
  <c r="CR18" i="3"/>
  <c r="CR10" i="3"/>
  <c r="CR7" i="3"/>
  <c r="CR46" i="3"/>
  <c r="CR11" i="3"/>
  <c r="CR32" i="3"/>
  <c r="CR9" i="3"/>
  <c r="CR6" i="3"/>
  <c r="CR8" i="3"/>
  <c r="CR27" i="3"/>
  <c r="CR13" i="3"/>
  <c r="CR12" i="3"/>
  <c r="CR29" i="3"/>
  <c r="CR37" i="3"/>
  <c r="CR23" i="3"/>
  <c r="CR25" i="3"/>
  <c r="CR51" i="3"/>
  <c r="CR52" i="3"/>
  <c r="CR31" i="3" l="1"/>
  <c r="CR30" i="3"/>
  <c r="CR14" i="3"/>
  <c r="CR15" i="3"/>
  <c r="CS24" i="3" l="1"/>
  <c r="CS30" i="3"/>
  <c r="T52" i="3" s="1"/>
  <c r="CS28" i="3"/>
  <c r="U48" i="3" s="1"/>
  <c r="CS29" i="3"/>
  <c r="U45" i="3" s="1"/>
  <c r="CS23" i="3"/>
  <c r="T40" i="3" s="1"/>
  <c r="CS42" i="3"/>
  <c r="T78" i="3" s="1"/>
  <c r="CS50" i="3"/>
  <c r="T92" i="3" s="1"/>
  <c r="CS34" i="3"/>
  <c r="U65" i="3" s="1"/>
  <c r="CS33" i="3"/>
  <c r="U53" i="3" s="1"/>
  <c r="CS7" i="3"/>
  <c r="U4" i="3" s="1"/>
  <c r="CS19" i="3"/>
  <c r="U31" i="3" s="1"/>
  <c r="CS43" i="3"/>
  <c r="T80" i="3" s="1"/>
  <c r="CS22" i="3"/>
  <c r="T38" i="3" s="1"/>
  <c r="CS53" i="3"/>
  <c r="T95" i="3" s="1"/>
  <c r="CS26" i="3"/>
  <c r="T46" i="3" s="1"/>
  <c r="CS9" i="3"/>
  <c r="U5" i="3" s="1"/>
  <c r="CS15" i="3"/>
  <c r="U22" i="3" s="1"/>
  <c r="CS38" i="3"/>
  <c r="T70" i="3" s="1"/>
  <c r="CS40" i="3"/>
  <c r="U70" i="3" s="1"/>
  <c r="CS39" i="3"/>
  <c r="U71" i="3" s="1"/>
  <c r="CS14" i="3"/>
  <c r="U24" i="3" s="1"/>
  <c r="CS18" i="3"/>
  <c r="T30" i="3" s="1"/>
  <c r="CS8" i="3"/>
  <c r="U9" i="3" s="1"/>
  <c r="CS45" i="3"/>
  <c r="T79" i="3" s="1"/>
  <c r="CS35" i="3"/>
  <c r="U63" i="3" s="1"/>
  <c r="CS12" i="3"/>
  <c r="T13" i="3" s="1"/>
  <c r="CS52" i="3"/>
  <c r="T93" i="3" s="1"/>
  <c r="CS6" i="3"/>
  <c r="U8" i="3" s="1"/>
  <c r="CS44" i="3"/>
  <c r="U80" i="3" s="1"/>
  <c r="CS31" i="3"/>
  <c r="U55" i="3" s="1"/>
  <c r="CS49" i="3"/>
  <c r="U85" i="3" s="1"/>
  <c r="CS21" i="3"/>
  <c r="T31" i="3" s="1"/>
  <c r="CS27" i="3"/>
  <c r="U47" i="3" s="1"/>
  <c r="CS17" i="3"/>
  <c r="T22" i="3" s="1"/>
  <c r="CS41" i="3"/>
  <c r="T71" i="3" s="1"/>
  <c r="CS51" i="3"/>
  <c r="U92" i="3" s="1"/>
  <c r="CS32" i="3"/>
  <c r="U56" i="3" s="1"/>
  <c r="CS25" i="3"/>
  <c r="T39" i="3" s="1"/>
  <c r="CS13" i="3"/>
  <c r="T14" i="3" s="1"/>
  <c r="CS46" i="3"/>
  <c r="U88" i="3" s="1"/>
  <c r="CS37" i="3"/>
  <c r="T63" i="3" s="1"/>
  <c r="CS20" i="3"/>
  <c r="U30" i="3" s="1"/>
  <c r="CS11" i="3"/>
  <c r="T17" i="3" s="1"/>
  <c r="CS16" i="3"/>
  <c r="U23" i="3" s="1"/>
  <c r="CS47" i="3"/>
  <c r="U84" i="3" s="1"/>
  <c r="CS36" i="3"/>
  <c r="U62" i="3" s="1"/>
  <c r="CS48" i="3"/>
  <c r="U89" i="3" s="1"/>
  <c r="U40" i="3"/>
  <c r="U38" i="3"/>
  <c r="T37" i="3"/>
  <c r="CS10" i="3"/>
  <c r="T15" i="3" s="1"/>
  <c r="U57" i="3"/>
  <c r="T41" i="3"/>
  <c r="T54" i="3"/>
  <c r="U37" i="3"/>
  <c r="CT24" i="3" s="1"/>
  <c r="U25" i="3"/>
  <c r="U32" i="3"/>
  <c r="U64" i="3"/>
  <c r="U7" i="3"/>
  <c r="T28" i="3"/>
  <c r="T36" i="3"/>
  <c r="CT23" i="3" s="1"/>
  <c r="U41" i="3"/>
  <c r="T69" i="3"/>
  <c r="U73" i="3"/>
  <c r="U15" i="3"/>
  <c r="T77" i="3"/>
  <c r="CT17" i="3"/>
  <c r="U81" i="3"/>
  <c r="U78" i="3"/>
  <c r="T56" i="3"/>
  <c r="CT32" i="3" s="1"/>
  <c r="T53" i="3"/>
  <c r="CT33" i="3" s="1"/>
  <c r="U49" i="3"/>
  <c r="U52" i="3"/>
  <c r="T64" i="3"/>
  <c r="U60" i="3"/>
  <c r="U54" i="3"/>
  <c r="T76" i="3"/>
  <c r="U28" i="3"/>
  <c r="T68" i="3"/>
  <c r="U93" i="3"/>
  <c r="T20" i="3"/>
  <c r="T96" i="3"/>
  <c r="U72" i="3"/>
  <c r="T44" i="3"/>
  <c r="T5" i="3"/>
  <c r="U39" i="3"/>
  <c r="CT25" i="3" s="1"/>
  <c r="T57" i="3"/>
  <c r="U94" i="3"/>
  <c r="CT50" i="3" s="1"/>
  <c r="U36" i="3"/>
  <c r="CT22" i="3" s="1"/>
  <c r="U61" i="3"/>
  <c r="U17" i="3"/>
  <c r="T23" i="3"/>
  <c r="T55" i="3"/>
  <c r="CT31" i="3" s="1"/>
  <c r="U97" i="3"/>
  <c r="U6" i="3"/>
  <c r="T25" i="3"/>
  <c r="U20" i="3"/>
  <c r="T48" i="3"/>
  <c r="U44" i="3"/>
  <c r="U46" i="3"/>
  <c r="T45" i="3"/>
  <c r="T9" i="3"/>
  <c r="T16" i="3" l="1"/>
  <c r="T88" i="3"/>
  <c r="CT49" i="3"/>
  <c r="T65" i="3"/>
  <c r="U79" i="3"/>
  <c r="T49" i="3"/>
  <c r="U69" i="3"/>
  <c r="CT40" i="3" s="1"/>
  <c r="T72" i="3"/>
  <c r="U96" i="3"/>
  <c r="CT53" i="3" s="1"/>
  <c r="T33" i="3"/>
  <c r="T94" i="3"/>
  <c r="U13" i="3"/>
  <c r="CT12" i="3" s="1"/>
  <c r="T87" i="3"/>
  <c r="CT28" i="3"/>
  <c r="T97" i="3"/>
  <c r="U76" i="3"/>
  <c r="T7" i="3"/>
  <c r="T60" i="3"/>
  <c r="CT35" i="3" s="1"/>
  <c r="T86" i="3"/>
  <c r="CT15" i="3"/>
  <c r="CT47" i="3"/>
  <c r="T89" i="3"/>
  <c r="U21" i="3"/>
  <c r="U12" i="3"/>
  <c r="U14" i="3"/>
  <c r="T24" i="3"/>
  <c r="CT14" i="3" s="1"/>
  <c r="T85" i="3"/>
  <c r="U87" i="3"/>
  <c r="U16" i="3"/>
  <c r="T47" i="3"/>
  <c r="T62" i="3"/>
  <c r="U29" i="3"/>
  <c r="CT20" i="3" s="1"/>
  <c r="CT43" i="3"/>
  <c r="U77" i="3"/>
  <c r="CT44" i="3" s="1"/>
  <c r="U68" i="3"/>
  <c r="T84" i="3"/>
  <c r="T4" i="3"/>
  <c r="U95" i="3"/>
  <c r="T81" i="3"/>
  <c r="T8" i="3"/>
  <c r="CT51" i="3"/>
  <c r="CT34" i="3"/>
  <c r="T32" i="3"/>
  <c r="T73" i="3"/>
  <c r="T6" i="3"/>
  <c r="T21" i="3"/>
  <c r="T29" i="3"/>
  <c r="T12" i="3"/>
  <c r="CT11" i="3" s="1"/>
  <c r="U86" i="3"/>
  <c r="T61" i="3"/>
  <c r="CT37" i="3" s="1"/>
  <c r="U33" i="3"/>
  <c r="CT19" i="3" s="1"/>
  <c r="CT38" i="3"/>
  <c r="CT7" i="3"/>
  <c r="CT21" i="3"/>
  <c r="CT48" i="3"/>
  <c r="CT6" i="3"/>
  <c r="CT46" i="3"/>
  <c r="CT42" i="3"/>
  <c r="CT45"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l="1"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3" i="3" l="1"/>
  <c r="BJ63" i="3" s="1"/>
  <c r="D114" i="3"/>
  <c r="AG114" i="3" s="1"/>
  <c r="D112" i="3"/>
  <c r="AG112"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N126" i="3"/>
  <c r="AF126" i="3" s="1"/>
  <c r="AG113" i="3"/>
  <c r="M127" i="3"/>
  <c r="AA127"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4" i="3" l="1"/>
  <c r="AA124" i="3" s="1"/>
  <c r="D124" i="3"/>
  <c r="D127" i="3"/>
  <c r="N134" i="3" s="1"/>
  <c r="AF134" i="3" s="1"/>
  <c r="D121" i="3"/>
  <c r="AG121"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AG122" i="3"/>
  <c r="M133" i="3"/>
  <c r="AA133" i="3" s="1"/>
  <c r="D133" i="3" s="1"/>
  <c r="M132" i="3"/>
  <c r="AA132" i="3" s="1"/>
  <c r="D132" i="3" s="1"/>
  <c r="AG124" i="3"/>
  <c r="M131" i="3"/>
  <c r="AA131" i="3" s="1"/>
  <c r="D131"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20" i="3" l="1"/>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<sst xmlns="http://schemas.openxmlformats.org/spreadsheetml/2006/main" count="6758" uniqueCount="1517">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</sst>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09" zoomScale="80" zoomScaleNormal="80" workbookViewId="0">
      <selection activeCell="AE143" sqref="AE143"/>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0</v>
      </c>
      <c r="X4" s="24">
        <f ca="1">Horarios!C4</f>
        <v>46184.625</v>
      </c>
      <c r="Y4" s="25">
        <f ca="1">Horarios!C4</f>
        <v>46184.625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46184.916666666664</v>
      </c>
      <c r="Y5" s="25">
        <f ca="1">Horarios!C5</f>
        <v>46184.916666666664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46191.5</v>
      </c>
      <c r="Y6" s="25">
        <f ca="1">Horarios!C6</f>
        <v>46191.5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46191.875</v>
      </c>
      <c r="Y7" s="25">
        <f ca="1">Horarios!C7</f>
        <v>46191.875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2">
        <f t="array" aca="1" ref="AK7" ca="1">Ver_flag_visit</f>
        <v>#VALUE!</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46197.875</v>
      </c>
      <c r="Y8" s="25">
        <f ca="1">Horarios!C8</f>
        <v>46197.875</v>
      </c>
      <c r="Z8" s="26" t="str">
        <f>Idiomas!D63</f>
        <v>J3</v>
      </c>
      <c r="AA8" s="27" t="str">
        <f ca="1">A8</f>
        <v>República Checa</v>
      </c>
      <c r="AB8" s="49" t="e" cm="1" vm="4">
        <f t="array" aca="1" ref="AB8" ca="1">Ver_flag_local</f>
        <v>#VALUE!</v>
      </c>
      <c r="AC8" s="50">
        <v>0</v>
      </c>
      <c r="AD8" s="51">
        <v>3</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46197.875</v>
      </c>
      <c r="Y9" s="29">
        <f ca="1">Horarios!C9</f>
        <v>46197.875</v>
      </c>
      <c r="Z9" s="30" t="str">
        <f>$Z$8</f>
        <v>J3</v>
      </c>
      <c r="AA9" s="31" t="str">
        <f ca="1">A6</f>
        <v>Sudáfrica</v>
      </c>
      <c r="AB9" s="52" t="e" cm="1" vm="2">
        <f t="array" aca="1" ref="AB9" ca="1">Ver_flag_local</f>
        <v>#VALUE!</v>
      </c>
      <c r="AC9" s="53">
        <v>1</v>
      </c>
      <c r="AD9" s="54">
        <v>0</v>
      </c>
      <c r="AE9" s="596" t="e" cm="1" vm="3">
        <f t="array" aca="1" ref="AE9" ca="1">Ver_flag_visit</f>
        <v>#VALUE!</v>
      </c>
      <c r="AF9" s="33" t="str">
        <f ca="1">A7</f>
        <v>Corea del Sur</v>
      </c>
      <c r="AG9" s="323">
        <f t="shared" si="13"/>
        <v>1</v>
      </c>
      <c r="AH9" s="195">
        <v>54</v>
      </c>
      <c r="AI9" s="181" t="str">
        <f>AJ9&amp;$B$4</f>
        <v>4A</v>
      </c>
      <c r="AJ9" s="44">
        <v>4</v>
      </c>
      <c r="AK9" s="599" t="e" cm="1" vm="4">
        <f t="array" aca="1" ref="AK9" ca="1">Ver_flag_visit</f>
        <v>#VALUE!</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40" t="s">
        <v>1</v>
      </c>
      <c r="X12" s="24">
        <f ca="1">Horarios!C12</f>
        <v>46185.625</v>
      </c>
      <c r="Y12" s="25">
        <f ca="1">Horarios!C12</f>
        <v>46185.625</v>
      </c>
      <c r="Z12" s="26" t="str">
        <f>$Z$4</f>
        <v>J1</v>
      </c>
      <c r="AA12" s="27" t="str">
        <f ca="1">A13</f>
        <v>Canadá</v>
      </c>
      <c r="AB12" s="49" t="e" cm="1" vm="5">
        <f t="array" aca="1" ref="AB12" ca="1">Ver_flag_local</f>
        <v>#VALUE!</v>
      </c>
      <c r="AC12" s="50">
        <v>1</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46186.625</v>
      </c>
      <c r="Y13" s="25">
        <f ca="1">Horarios!C13</f>
        <v>46186.625</v>
      </c>
      <c r="Z13" s="26" t="str">
        <f>$Z$4</f>
        <v>J1</v>
      </c>
      <c r="AA13" s="27" t="str">
        <f ca="1">A15</f>
        <v>Catar</v>
      </c>
      <c r="AB13" s="49" t="e" cm="1" vm="7">
        <f t="array" aca="1" ref="AB13" ca="1">Ver_flag_local</f>
        <v>#VALUE!</v>
      </c>
      <c r="AC13" s="50">
        <v>1</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40"/>
      <c r="X14" s="24">
        <f ca="1">Horarios!C14</f>
        <v>46191.625</v>
      </c>
      <c r="Y14" s="25">
        <f ca="1">Horarios!C14</f>
        <v>46191.625</v>
      </c>
      <c r="Z14" s="26" t="str">
        <f>$Z$6</f>
        <v>J2</v>
      </c>
      <c r="AA14" s="27" t="str">
        <f ca="1">A16</f>
        <v>Suiza</v>
      </c>
      <c r="AB14" s="49" t="e" cm="1" vm="8">
        <f t="array" aca="1" ref="AB14" ca="1">Ver_flag_local</f>
        <v>#VALUE!</v>
      </c>
      <c r="AC14" s="50">
        <v>4</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40"/>
      <c r="X15" s="24">
        <f ca="1">Horarios!C15</f>
        <v>46191.75</v>
      </c>
      <c r="Y15" s="25">
        <f ca="1">Horarios!C15</f>
        <v>46191.75</v>
      </c>
      <c r="Z15" s="26" t="str">
        <f>$Z$6</f>
        <v>J2</v>
      </c>
      <c r="AA15" s="27" t="str">
        <f ca="1">A13</f>
        <v>Canadá</v>
      </c>
      <c r="AB15" s="49" t="e" cm="1" vm="5">
        <f t="array" aca="1" ref="AB15" ca="1">Ver_flag_local</f>
        <v>#VALUE!</v>
      </c>
      <c r="AC15" s="50">
        <v>6</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40"/>
      <c r="X16" s="24">
        <f ca="1">Horarios!C16</f>
        <v>46197.625</v>
      </c>
      <c r="Y16" s="25">
        <f ca="1">Horarios!C16</f>
        <v>46197.625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41"/>
      <c r="X17" s="28">
        <f ca="1">Horarios!C17</f>
        <v>46197.625</v>
      </c>
      <c r="Y17" s="29">
        <f ca="1">Horarios!C17</f>
        <v>46197.625</v>
      </c>
      <c r="Z17" s="30" t="str">
        <f>$Z$8</f>
        <v>J3</v>
      </c>
      <c r="AA17" s="31" t="str">
        <f ca="1">A14</f>
        <v>Bosnia y Herzegovina</v>
      </c>
      <c r="AB17" s="52" t="e" cm="1" vm="6">
        <f t="array" aca="1" ref="AB17" ca="1">Ver_flag_local</f>
        <v>#VALUE!</v>
      </c>
      <c r="AC17" s="53">
        <v>3</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9" t="s">
        <v>2</v>
      </c>
      <c r="X20" s="24">
        <f ca="1">Horarios!C20</f>
        <v>46186.75</v>
      </c>
      <c r="Y20" s="25">
        <f ca="1">Horarios!C20</f>
        <v>46186.75</v>
      </c>
      <c r="Z20" s="26" t="str">
        <f>$Z$4</f>
        <v>J1</v>
      </c>
      <c r="AA20" s="27" t="str">
        <f ca="1">A21</f>
        <v>Brasil</v>
      </c>
      <c r="AB20" s="49" t="e" cm="1" vm="9">
        <f t="array" aca="1" ref="AB20" ca="1">Ver_flag_local</f>
        <v>#VALUE!</v>
      </c>
      <c r="AC20" s="50">
        <v>1</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46186.875</v>
      </c>
      <c r="Y21" s="25">
        <f ca="1">Horarios!C21</f>
        <v>46186.875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5.9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9"/>
      <c r="X22" s="24">
        <f ca="1">Horarios!C22</f>
        <v>46192.75</v>
      </c>
      <c r="Y22" s="25">
        <f ca="1">Horarios!C22</f>
        <v>46192.75</v>
      </c>
      <c r="Z22" s="26" t="str">
        <f>$Z$6</f>
        <v>J2</v>
      </c>
      <c r="AA22" s="27" t="str">
        <f ca="1">A24</f>
        <v>Escocia</v>
      </c>
      <c r="AB22" s="49" t="e" cm="1" vm="12">
        <f t="array" aca="1" ref="AB22" ca="1">Ver_flag_local</f>
        <v>#VALUE!</v>
      </c>
      <c r="AC22" s="50">
        <v>0</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9"/>
      <c r="X23" s="24">
        <f ca="1">Horarios!C23</f>
        <v>46192.854166666664</v>
      </c>
      <c r="Y23" s="25">
        <f ca="1">Horarios!C23</f>
        <v>46192.854166666664</v>
      </c>
      <c r="Z23" s="26" t="str">
        <f>$Z$6</f>
        <v>J2</v>
      </c>
      <c r="AA23" s="27" t="str">
        <f ca="1">A21</f>
        <v>Brasil</v>
      </c>
      <c r="AB23" s="49" t="e" cm="1" vm="9">
        <f t="array" aca="1" ref="AB23" ca="1">Ver_flag_local</f>
        <v>#VALUE!</v>
      </c>
      <c r="AC23" s="50">
        <v>3</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9"/>
      <c r="X24" s="24">
        <f ca="1">Horarios!C24</f>
        <v>46197.75</v>
      </c>
      <c r="Y24" s="25">
        <f ca="1">Horarios!C24</f>
        <v>46197.75</v>
      </c>
      <c r="Z24" s="26" t="str">
        <f>$Z$8</f>
        <v>J3</v>
      </c>
      <c r="AA24" s="27" t="str">
        <f ca="1">A24</f>
        <v>Escocia</v>
      </c>
      <c r="AB24" s="49" t="e" cm="1" vm="12">
        <f t="array" aca="1" ref="AB24" ca="1">Ver_flag_local</f>
        <v>#VALUE!</v>
      </c>
      <c r="AC24" s="50">
        <v>0</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50"/>
      <c r="X25" s="28">
        <f ca="1">Horarios!C25</f>
        <v>46197.75</v>
      </c>
      <c r="Y25" s="29">
        <f ca="1">Horarios!C25</f>
        <v>46197.75</v>
      </c>
      <c r="Z25" s="30" t="str">
        <f>$Z$8</f>
        <v>J3</v>
      </c>
      <c r="AA25" s="31" t="str">
        <f ca="1">A22</f>
        <v>Marruecos</v>
      </c>
      <c r="AB25" s="52" t="e" cm="1" vm="10">
        <f t="array" aca="1" ref="AB25" ca="1">Ver_flag_local</f>
        <v>#VALUE!</v>
      </c>
      <c r="AC25" s="53">
        <v>4</v>
      </c>
      <c r="AD25" s="54">
        <v>2</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51" t="s">
        <v>74</v>
      </c>
      <c r="X28" s="24">
        <f ca="1">Horarios!C28</f>
        <v>46185.875</v>
      </c>
      <c r="Y28" s="25">
        <f ca="1">Horarios!C28</f>
        <v>46185.875</v>
      </c>
      <c r="Z28" s="26" t="str">
        <f>$Z$4</f>
        <v>J1</v>
      </c>
      <c r="AA28" s="27" t="str">
        <f ca="1">A29</f>
        <v>Estados Unidos</v>
      </c>
      <c r="AB28" s="49" t="e" cm="1" vm="13">
        <f t="array" aca="1" ref="AB28" ca="1">Ver_flag_local</f>
        <v>#VALUE!</v>
      </c>
      <c r="AC28" s="50">
        <v>4</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51"/>
      <c r="X29" s="24">
        <f ca="1">Horarios!C29</f>
        <v>46187</v>
      </c>
      <c r="Y29" s="25">
        <f ca="1">Horarios!C29</f>
        <v>46187</v>
      </c>
      <c r="Z29" s="26" t="str">
        <f>$Z$4</f>
        <v>J1</v>
      </c>
      <c r="AA29" s="27" t="str">
        <f ca="1">A31</f>
        <v>Australia</v>
      </c>
      <c r="AB29" s="49" t="e" cm="1" vm="15">
        <f t="array" aca="1" ref="AB29" ca="1">Ver_flag_local</f>
        <v>#VALUE!</v>
      </c>
      <c r="AC29" s="50">
        <v>2</v>
      </c>
      <c r="AD29" s="51">
        <v>0</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51"/>
      <c r="X30" s="24">
        <f ca="1">Horarios!C30</f>
        <v>46192.625</v>
      </c>
      <c r="Y30" s="25">
        <f ca="1">Horarios!C30</f>
        <v>46192.625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51"/>
      <c r="X31" s="24">
        <f ca="1">Horarios!C31</f>
        <v>46192.958333333336</v>
      </c>
      <c r="Y31" s="25">
        <f ca="1">Horarios!C31</f>
        <v>46192.958333333336</v>
      </c>
      <c r="Z31" s="26" t="str">
        <f>$Z$6</f>
        <v>J2</v>
      </c>
      <c r="AA31" s="27" t="str">
        <f ca="1">A32</f>
        <v>Turquía</v>
      </c>
      <c r="AB31" s="49" t="e" cm="1" vm="16">
        <f t="array" aca="1" ref="AB31" ca="1">Ver_flag_local</f>
        <v>#VALUE!</v>
      </c>
      <c r="AC31" s="50">
        <v>0</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5">
        <f t="array" aca="1" ref="AK31" ca="1">Ver_flag_visit</f>
        <v>#VALUE!</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1"/>
      <c r="X32" s="24">
        <f ca="1">Horarios!C32</f>
        <v>46198.916666666664</v>
      </c>
      <c r="Y32" s="25">
        <f ca="1">Horarios!C32</f>
        <v>46198.916666666664</v>
      </c>
      <c r="Z32" s="26" t="str">
        <f>$Z$8</f>
        <v>J3</v>
      </c>
      <c r="AA32" s="27" t="str">
        <f ca="1">A32</f>
        <v>Turquía</v>
      </c>
      <c r="AB32" s="49" t="e" cm="1" vm="16">
        <f t="array" aca="1" ref="AB32" ca="1">Ver_flag_local</f>
        <v>#VALUE!</v>
      </c>
      <c r="AC32" s="50">
        <v>3</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52"/>
      <c r="X33" s="28">
        <f ca="1">Horarios!C33</f>
        <v>46198.916666666664</v>
      </c>
      <c r="Y33" s="29">
        <f ca="1">Horarios!C33</f>
        <v>46198.916666666664</v>
      </c>
      <c r="Z33" s="30" t="str">
        <f>$Z$8</f>
        <v>J3</v>
      </c>
      <c r="AA33" s="31" t="str">
        <f ca="1">A30</f>
        <v>Paraguay</v>
      </c>
      <c r="AB33" s="52" t="e" cm="1" vm="14">
        <f t="array" aca="1" ref="AB33" ca="1">Ver_flag_local</f>
        <v>#VALUE!</v>
      </c>
      <c r="AC33" s="53">
        <v>0</v>
      </c>
      <c r="AD33" s="54">
        <v>0</v>
      </c>
      <c r="AE33" s="596" t="e" cm="1" vm="15">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3" t="s">
        <v>3</v>
      </c>
      <c r="X36" s="24">
        <f ca="1">Horarios!C36</f>
        <v>46187.541666666664</v>
      </c>
      <c r="Y36" s="25">
        <f ca="1">Horarios!C36</f>
        <v>46187.541666666664</v>
      </c>
      <c r="Z36" s="26" t="str">
        <f>$Z$4</f>
        <v>J1</v>
      </c>
      <c r="AA36" s="27" t="str">
        <f ca="1">A37</f>
        <v>Alemania</v>
      </c>
      <c r="AB36" s="49" t="e" cm="1" vm="17">
        <f t="array" aca="1" ref="AB36" ca="1">Ver_flag_local</f>
        <v>#VALUE!</v>
      </c>
      <c r="AC36" s="50">
        <v>7</v>
      </c>
      <c r="AD36" s="51">
        <v>1</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5.95"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3"/>
      <c r="X37" s="24">
        <f ca="1">Horarios!C37</f>
        <v>46187.791666666664</v>
      </c>
      <c r="Y37" s="25">
        <f ca="1">Horarios!C37</f>
        <v>46187.791666666664</v>
      </c>
      <c r="Z37" s="26" t="str">
        <f>$Z$4</f>
        <v>J1</v>
      </c>
      <c r="AA37" s="27" t="str">
        <f ca="1">A39</f>
        <v>Costa de Marfil</v>
      </c>
      <c r="AB37" s="49" t="e" cm="1" vm="19">
        <f t="array" aca="1" ref="AB37" ca="1">Ver_flag_local</f>
        <v>#VALUE!</v>
      </c>
      <c r="AC37" s="50">
        <v>1</v>
      </c>
      <c r="AD37" s="51">
        <v>0</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5.95"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3"/>
      <c r="X38" s="24">
        <f ca="1">Horarios!C38</f>
        <v>46193.666666666664</v>
      </c>
      <c r="Y38" s="25">
        <f ca="1">Horarios!C38</f>
        <v>46193.666666666664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3"/>
      <c r="X39" s="24">
        <f ca="1">Horarios!C39</f>
        <v>46193.833333333336</v>
      </c>
      <c r="Y39" s="25">
        <f ca="1">Horarios!C39</f>
        <v>46193.833333333336</v>
      </c>
      <c r="Z39" s="26" t="str">
        <f>$Z$6</f>
        <v>J2</v>
      </c>
      <c r="AA39" s="27" t="str">
        <f ca="1">A40</f>
        <v>Ecuador</v>
      </c>
      <c r="AB39" s="49" t="e" cm="1" vm="20">
        <f t="array" aca="1" ref="AB39" ca="1">Ver_flag_local</f>
        <v>#VALUE!</v>
      </c>
      <c r="AC39" s="50">
        <v>0</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46198.666666666664</v>
      </c>
      <c r="Y40" s="25">
        <f ca="1">Horarios!C40</f>
        <v>46198.666666666664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4"/>
      <c r="X41" s="28">
        <f ca="1">Horarios!C41</f>
        <v>46198.666666666664</v>
      </c>
      <c r="Y41" s="29">
        <f ca="1">Horarios!C41</f>
        <v>46198.666666666664</v>
      </c>
      <c r="Z41" s="30" t="str">
        <f>$Z$8</f>
        <v>J3</v>
      </c>
      <c r="AA41" s="31" t="str">
        <f ca="1">A40</f>
        <v>Ecuador</v>
      </c>
      <c r="AB41" s="52" t="e" cm="1" vm="20">
        <f t="array" aca="1" ref="AB41" ca="1">Ver_flag_local</f>
        <v>#VALUE!</v>
      </c>
      <c r="AC41" s="53">
        <v>2</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63" t="s">
        <v>4</v>
      </c>
      <c r="X44" s="24">
        <f ca="1">Horarios!C44</f>
        <v>46187.666666666664</v>
      </c>
      <c r="Y44" s="25">
        <f ca="1">Horarios!C44</f>
        <v>46187.666666666664</v>
      </c>
      <c r="Z44" s="26" t="str">
        <f>$Z$4</f>
        <v>J1</v>
      </c>
      <c r="AA44" s="27" t="str">
        <f ca="1">A45</f>
        <v>Países Bajos</v>
      </c>
      <c r="AB44" s="49" t="e" cm="1" vm="21">
        <f t="array" aca="1" ref="AB44" ca="1">Ver_flag_local</f>
        <v>#VALUE!</v>
      </c>
      <c r="AC44" s="50">
        <v>2</v>
      </c>
      <c r="AD44" s="51">
        <v>2</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63"/>
      <c r="X45" s="24">
        <f ca="1">Horarios!C45</f>
        <v>46187.916666666664</v>
      </c>
      <c r="Y45" s="25">
        <f ca="1">Horarios!C45</f>
        <v>46187.916666666664</v>
      </c>
      <c r="Z45" s="26" t="str">
        <f>$Z$4</f>
        <v>J1</v>
      </c>
      <c r="AA45" s="27" t="str">
        <f ca="1">A47</f>
        <v>Suecia</v>
      </c>
      <c r="AB45" s="49" t="e" cm="1" vm="23">
        <f t="array" aca="1" ref="AB45" ca="1">Ver_flag_local</f>
        <v>#VALUE!</v>
      </c>
      <c r="AC45" s="50">
        <v>5</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63"/>
      <c r="X46" s="24">
        <f ca="1">Horarios!C46</f>
        <v>46193.541666666664</v>
      </c>
      <c r="Y46" s="25">
        <f ca="1">Horarios!C46</f>
        <v>46193.541666666664</v>
      </c>
      <c r="Z46" s="26" t="str">
        <f>$Z$6</f>
        <v>J2</v>
      </c>
      <c r="AA46" s="27" t="str">
        <f ca="1">A45</f>
        <v>Países Bajos</v>
      </c>
      <c r="AB46" s="49" t="e" cm="1" vm="21">
        <f t="array" aca="1" ref="AB46" ca="1">Ver_flag_local</f>
        <v>#VALUE!</v>
      </c>
      <c r="AC46" s="50">
        <v>5</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63"/>
      <c r="X47" s="24">
        <f ca="1">Horarios!C47</f>
        <v>46194</v>
      </c>
      <c r="Y47" s="25">
        <f ca="1">Horarios!C47</f>
        <v>46194</v>
      </c>
      <c r="Z47" s="26" t="str">
        <f>$Z$6</f>
        <v>J2</v>
      </c>
      <c r="AA47" s="27" t="str">
        <f ca="1">A48</f>
        <v>Túnez</v>
      </c>
      <c r="AB47" s="49" t="e" cm="1" vm="24">
        <f t="array" aca="1" ref="AB47" ca="1">Ver_flag_local</f>
        <v>#VALUE!</v>
      </c>
      <c r="AC47" s="50">
        <v>0</v>
      </c>
      <c r="AD47" s="51">
        <v>4</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5.9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63"/>
      <c r="X48" s="24">
        <f ca="1">Horarios!C48</f>
        <v>46198.791666666664</v>
      </c>
      <c r="Y48" s="25">
        <f ca="1">Horarios!C48</f>
        <v>46198.791666666664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64"/>
      <c r="X49" s="28">
        <f ca="1">Horarios!C49</f>
        <v>46198.791666666664</v>
      </c>
      <c r="Y49" s="29">
        <f ca="1">Horarios!C49</f>
        <v>46198.791666666664</v>
      </c>
      <c r="Z49" s="30" t="str">
        <f>$Z$8</f>
        <v>J3</v>
      </c>
      <c r="AA49" s="31" t="str">
        <f ca="1">A48</f>
        <v>Túnez</v>
      </c>
      <c r="AB49" s="52" t="e" cm="1" vm="24">
        <f t="array" aca="1" ref="AB49" ca="1">Ver_flag_local</f>
        <v>#VALUE!</v>
      </c>
      <c r="AC49" s="53">
        <v>1</v>
      </c>
      <c r="AD49" s="54">
        <v>3</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83" t="s">
        <v>6</v>
      </c>
      <c r="X52" s="24">
        <f ca="1">Horarios!C52</f>
        <v>46188.625</v>
      </c>
      <c r="Y52" s="25">
        <f ca="1">Horarios!C52</f>
        <v>46188.625</v>
      </c>
      <c r="Z52" s="26" t="str">
        <f>$Z$4</f>
        <v>J1</v>
      </c>
      <c r="AA52" s="27" t="str">
        <f ca="1">A53</f>
        <v>Bélgica</v>
      </c>
      <c r="AB52" s="49" t="e" cm="1" vm="25">
        <f t="array" aca="1" ref="AB52" ca="1">Ver_flag_local</f>
        <v>#VALUE!</v>
      </c>
      <c r="AC52" s="50">
        <v>1</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83"/>
      <c r="X53" s="24">
        <f ca="1">Horarios!C53</f>
        <v>46188.875</v>
      </c>
      <c r="Y53" s="25">
        <f ca="1">Horarios!C53</f>
        <v>46188.875</v>
      </c>
      <c r="Z53" s="26" t="str">
        <f>$Z$4</f>
        <v>J1</v>
      </c>
      <c r="AA53" s="27" t="str">
        <f ca="1">A55</f>
        <v>Irán</v>
      </c>
      <c r="AB53" s="49" t="e" cm="1" vm="27">
        <f t="array" aca="1" ref="AB53" ca="1">Ver_flag_local</f>
        <v>#VALUE!</v>
      </c>
      <c r="AC53" s="50">
        <v>2</v>
      </c>
      <c r="AD53" s="51">
        <v>2</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83"/>
      <c r="X54" s="24">
        <f ca="1">Horarios!C54</f>
        <v>46194.625</v>
      </c>
      <c r="Y54" s="25">
        <f ca="1">Horarios!C54</f>
        <v>46194.625</v>
      </c>
      <c r="Z54" s="26" t="str">
        <f>$Z$6</f>
        <v>J2</v>
      </c>
      <c r="AA54" s="27" t="str">
        <f ca="1">A53</f>
        <v>Bélgica</v>
      </c>
      <c r="AB54" s="49" t="e" cm="1" vm="25">
        <f t="array" aca="1" ref="AB54" ca="1">Ver_flag_local</f>
        <v>#VALUE!</v>
      </c>
      <c r="AC54" s="50">
        <v>0</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83"/>
      <c r="X55" s="24">
        <f ca="1">Horarios!C55</f>
        <v>46194.875</v>
      </c>
      <c r="Y55" s="25">
        <f ca="1">Horarios!C55</f>
        <v>46194.875</v>
      </c>
      <c r="Z55" s="26" t="str">
        <f>$Z$6</f>
        <v>J2</v>
      </c>
      <c r="AA55" s="27" t="str">
        <f ca="1">A56</f>
        <v>Nueva Zelanda</v>
      </c>
      <c r="AB55" s="49" t="e" cm="1" vm="28">
        <f t="array" aca="1" ref="AB55" ca="1">Ver_flag_local</f>
        <v>#VALUE!</v>
      </c>
      <c r="AC55" s="50">
        <v>1</v>
      </c>
      <c r="AD55" s="51">
        <v>3</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83"/>
      <c r="X56" s="24">
        <f ca="1">Horarios!C56</f>
        <v>46199.958333333336</v>
      </c>
      <c r="Y56" s="25">
        <f ca="1">Horarios!C56</f>
        <v>46199.958333333336</v>
      </c>
      <c r="Z56" s="26" t="str">
        <f>$Z$8</f>
        <v>J3</v>
      </c>
      <c r="AA56" s="27" t="str">
        <f ca="1">A54</f>
        <v>Egipto</v>
      </c>
      <c r="AB56" s="49" t="e" cm="1" vm="26">
        <f t="array" aca="1" ref="AB56" ca="1">Ver_flag_local</f>
        <v>#VALUE!</v>
      </c>
      <c r="AC56" s="50">
        <v>1</v>
      </c>
      <c r="AD56" s="51">
        <v>1</v>
      </c>
      <c r="AE56" s="595" t="e" cm="1" vm="27">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84"/>
      <c r="X57" s="28">
        <f ca="1">Horarios!C57</f>
        <v>46199.958333333336</v>
      </c>
      <c r="Y57" s="29">
        <f ca="1">Horarios!C57</f>
        <v>46199.958333333336</v>
      </c>
      <c r="Z57" s="30" t="str">
        <f>$Z$8</f>
        <v>J3</v>
      </c>
      <c r="AA57" s="31" t="str">
        <f ca="1">A56</f>
        <v>Nueva Zelanda</v>
      </c>
      <c r="AB57" s="52" t="e" cm="1" vm="28">
        <f t="array" aca="1" ref="AB57" ca="1">Ver_flag_local</f>
        <v>#VALUE!</v>
      </c>
      <c r="AC57" s="53">
        <v>1</v>
      </c>
      <c r="AD57" s="54">
        <v>5</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5"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65" t="s">
        <v>447</v>
      </c>
      <c r="X60" s="24">
        <f ca="1">Horarios!C60</f>
        <v>46188.5</v>
      </c>
      <c r="Y60" s="25">
        <f ca="1">Horarios!C60</f>
        <v>46188.5</v>
      </c>
      <c r="Z60" s="26" t="str">
        <f>$Z$4</f>
        <v>J1</v>
      </c>
      <c r="AA60" s="27" t="str">
        <f ca="1">A61</f>
        <v>España</v>
      </c>
      <c r="AB60" s="49" t="e" cm="1" vm="29">
        <f t="array" aca="1" ref="AB60" ca="1">Ver_flag_local</f>
        <v>#VALUE!</v>
      </c>
      <c r="AC60" s="50">
        <v>0</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Ecuador</v>
      </c>
    </row>
    <row r="61" spans="1:121" ht="15.95"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65"/>
      <c r="X61" s="24">
        <f ca="1">Horarios!C61</f>
        <v>46188.75</v>
      </c>
      <c r="Y61" s="25">
        <f ca="1">Horarios!C61</f>
        <v>46188.75</v>
      </c>
      <c r="Z61" s="26" t="str">
        <f>$Z$4</f>
        <v>J1</v>
      </c>
      <c r="AA61" s="27" t="str">
        <f ca="1">A63</f>
        <v>Arabia Saudita</v>
      </c>
      <c r="AB61" s="49" t="e" cm="1" vm="32">
        <f t="array" aca="1" ref="AB61" ca="1">Ver_flag_local</f>
        <v>#VALUE!</v>
      </c>
      <c r="AC61" s="50">
        <v>1</v>
      </c>
      <c r="AD61" s="51">
        <v>1</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Ghana</v>
      </c>
    </row>
    <row r="62" spans="1:121" ht="15.9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65"/>
      <c r="X62" s="24">
        <f ca="1">Horarios!C62</f>
        <v>46194.5</v>
      </c>
      <c r="Y62" s="25">
        <f ca="1">Horarios!C62</f>
        <v>46194.5</v>
      </c>
      <c r="Z62" s="26" t="str">
        <f>$Z$6</f>
        <v>J2</v>
      </c>
      <c r="AA62" s="27" t="str">
        <f ca="1">A61</f>
        <v>España</v>
      </c>
      <c r="AB62" s="49" t="e" cm="1" vm="29">
        <f t="array" aca="1" ref="AB62" ca="1">Ver_flag_local</f>
        <v>#VALUE!</v>
      </c>
      <c r="AC62" s="50">
        <v>4</v>
      </c>
      <c r="AD62" s="51">
        <v>0</v>
      </c>
      <c r="AE62" s="595" t="e" cm="1" vm="32">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5"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65"/>
      <c r="X63" s="24">
        <f ca="1">Horarios!C63</f>
        <v>46194.75</v>
      </c>
      <c r="Y63" s="25">
        <f ca="1">Horarios!C63</f>
        <v>46194.75</v>
      </c>
      <c r="Z63" s="26" t="str">
        <f>$Z$6</f>
        <v>J2</v>
      </c>
      <c r="AA63" s="27" t="str">
        <f ca="1">A64</f>
        <v>Uruguay</v>
      </c>
      <c r="AB63" s="49" t="e" cm="1" vm="33">
        <f t="array" aca="1" ref="AB63" ca="1">Ver_flag_local</f>
        <v>#VALUE!</v>
      </c>
      <c r="AC63" s="50">
        <v>2</v>
      </c>
      <c r="AD63" s="51">
        <v>2</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0">
        <f t="array" aca="1" ref="AK63" ca="1">Ver_flag_visit</f>
        <v>#VALUE!</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5"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65"/>
      <c r="X64" s="24">
        <f ca="1">Horarios!C64</f>
        <v>46199.833333333336</v>
      </c>
      <c r="Y64" s="25">
        <f ca="1">Horarios!C64</f>
        <v>46199.833333333336</v>
      </c>
      <c r="Z64" s="26" t="str">
        <f>$Z$8</f>
        <v>J3</v>
      </c>
      <c r="AA64" s="27" t="str">
        <f ca="1">A62</f>
        <v>Cabo Verde</v>
      </c>
      <c r="AB64" s="49" t="e" cm="1" vm="30">
        <f t="array" aca="1" ref="AB64" ca="1">Ver_flag_local</f>
        <v>#VALUE!</v>
      </c>
      <c r="AC64" s="50">
        <v>0</v>
      </c>
      <c r="AD64" s="51">
        <v>0</v>
      </c>
      <c r="AE64" s="595" t="e" cm="1" vm="32">
        <f t="array" aca="1" ref="AE64" ca="1">Ver_flag_visit</f>
        <v>#VALUE!</v>
      </c>
      <c r="AF64" s="32" t="str">
        <f ca="1">A63</f>
        <v>Arabia Saudita</v>
      </c>
      <c r="AG64" s="323">
        <f t="shared" si="212"/>
        <v>1</v>
      </c>
      <c r="AH64" s="195">
        <v>65</v>
      </c>
      <c r="AI64" s="181" t="str">
        <f t="shared" si="216"/>
        <v>3H</v>
      </c>
      <c r="AJ64" s="42">
        <v>3</v>
      </c>
      <c r="AK64" s="602" t="e" cm="1" vm="33">
        <f t="array" aca="1" ref="AK64" ca="1">Ver_flag_visit</f>
        <v>#VALUE!</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5.95"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66"/>
      <c r="X65" s="28">
        <f ca="1">Horarios!C65</f>
        <v>46199.833333333336</v>
      </c>
      <c r="Y65" s="29">
        <f ca="1">Horarios!C65</f>
        <v>46199.833333333336</v>
      </c>
      <c r="Z65" s="30" t="str">
        <f>$Z$8</f>
        <v>J3</v>
      </c>
      <c r="AA65" s="31" t="str">
        <f ca="1">A64</f>
        <v>Uruguay</v>
      </c>
      <c r="AB65" s="52" t="e" cm="1" vm="33">
        <f t="array" aca="1" ref="AB65" ca="1">Ver_flag_local</f>
        <v>#VALUE!</v>
      </c>
      <c r="AC65" s="53">
        <v>0</v>
      </c>
      <c r="AD65" s="54">
        <v>1</v>
      </c>
      <c r="AE65" s="596" t="e" cm="1" vm="29">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71" t="s">
        <v>448</v>
      </c>
      <c r="X68" s="24">
        <f ca="1">Horarios!C68</f>
        <v>46189.625</v>
      </c>
      <c r="Y68" s="25">
        <f ca="1">Horarios!C68</f>
        <v>46189.625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71"/>
      <c r="X69" s="24">
        <f ca="1">Horarios!C69</f>
        <v>46189.75</v>
      </c>
      <c r="Y69" s="25">
        <f ca="1">Horarios!C69</f>
        <v>46189.75</v>
      </c>
      <c r="Z69" s="26" t="str">
        <f>$Z$4</f>
        <v>J1</v>
      </c>
      <c r="AA69" s="27" t="str">
        <f ca="1">A71</f>
        <v>Irak</v>
      </c>
      <c r="AB69" s="49" t="e" cm="1" vm="36">
        <f t="array" aca="1" ref="AB69" ca="1">Ver_flag_local</f>
        <v>#VALUE!</v>
      </c>
      <c r="AC69" s="50">
        <v>1</v>
      </c>
      <c r="AD69" s="51">
        <v>4</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46195.708333333336</v>
      </c>
      <c r="Y70" s="25">
        <f ca="1">Horarios!C70</f>
        <v>46195.708333333336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71"/>
      <c r="X71" s="24">
        <f ca="1">Horarios!C71</f>
        <v>46195.833333333336</v>
      </c>
      <c r="Y71" s="25">
        <f ca="1">Horarios!C71</f>
        <v>46195.833333333336</v>
      </c>
      <c r="Z71" s="26" t="str">
        <f>$Z$6</f>
        <v>J2</v>
      </c>
      <c r="AA71" s="27" t="str">
        <f ca="1">A72</f>
        <v>Noruega</v>
      </c>
      <c r="AB71" s="49" t="e" cm="1" vm="37">
        <f t="array" aca="1" ref="AB71" ca="1">Ver_flag_local</f>
        <v>#VALUE!</v>
      </c>
      <c r="AC71" s="50">
        <v>3</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71"/>
      <c r="X72" s="24">
        <f ca="1">Horarios!C72</f>
        <v>46199.625</v>
      </c>
      <c r="Y72" s="25">
        <f ca="1">Horarios!C72</f>
        <v>46199.625</v>
      </c>
      <c r="Z72" s="26" t="str">
        <f>$Z$8</f>
        <v>J3</v>
      </c>
      <c r="AA72" s="27" t="str">
        <f ca="1">A72</f>
        <v>Noruega</v>
      </c>
      <c r="AB72" s="49" t="e" cm="1" vm="37">
        <f t="array" aca="1" ref="AB72" ca="1">Ver_flag_local</f>
        <v>#VALUE!</v>
      </c>
      <c r="AC72" s="50">
        <v>1</v>
      </c>
      <c r="AD72" s="51">
        <v>4</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46199.625</v>
      </c>
      <c r="Y73" s="29">
        <f ca="1">Horarios!C73</f>
        <v>46199.625</v>
      </c>
      <c r="Z73" s="30" t="str">
        <f>$Z$8</f>
        <v>J3</v>
      </c>
      <c r="AA73" s="31" t="str">
        <f ca="1">A70</f>
        <v>Senegal</v>
      </c>
      <c r="AB73" s="52" t="e" cm="1" vm="35">
        <f t="array" aca="1" ref="AB73" ca="1">Ver_flag_local</f>
        <v>#VALUE!</v>
      </c>
      <c r="AC73" s="53">
        <v>5</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67" t="s">
        <v>5</v>
      </c>
      <c r="X76" s="24">
        <f ca="1">Horarios!C76</f>
        <v>46189.875</v>
      </c>
      <c r="Y76" s="25">
        <f ca="1">Horarios!C76</f>
        <v>46189.875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67"/>
      <c r="X77" s="24">
        <f ca="1">Horarios!C77</f>
        <v>46190</v>
      </c>
      <c r="Y77" s="25">
        <f ca="1">Horarios!C77</f>
        <v>46190</v>
      </c>
      <c r="Z77" s="26" t="str">
        <f>$Z$4</f>
        <v>J1</v>
      </c>
      <c r="AA77" s="27" t="str">
        <f ca="1">A79</f>
        <v>Austria</v>
      </c>
      <c r="AB77" s="49" t="e" cm="1" vm="40">
        <f t="array" aca="1" ref="AB77" ca="1">Ver_flag_local</f>
        <v>#VALUE!</v>
      </c>
      <c r="AC77" s="50">
        <v>3</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67"/>
      <c r="X78" s="24">
        <f ca="1">Horarios!C78</f>
        <v>46195.541666666664</v>
      </c>
      <c r="Y78" s="25">
        <f ca="1">Horarios!C78</f>
        <v>46195.541666666664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67"/>
      <c r="X79" s="24">
        <f ca="1">Horarios!C79</f>
        <v>46195.958333333336</v>
      </c>
      <c r="Y79" s="25">
        <f ca="1">Horarios!C79</f>
        <v>46195.958333333336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67"/>
      <c r="X80" s="24">
        <f ca="1">Horarios!C80</f>
        <v>46200.916666666664</v>
      </c>
      <c r="Y80" s="25">
        <f ca="1">Horarios!C80</f>
        <v>46200.916666666664</v>
      </c>
      <c r="Z80" s="26" t="str">
        <f>$Z$8</f>
        <v>J3</v>
      </c>
      <c r="AA80" s="27" t="str">
        <f ca="1">A78</f>
        <v>Argelia</v>
      </c>
      <c r="AB80" s="49" t="e" cm="1" vm="39">
        <f t="array" aca="1" ref="AB80" ca="1">Ver_flag_local</f>
        <v>#VALUE!</v>
      </c>
      <c r="AC80" s="50">
        <v>3</v>
      </c>
      <c r="AD80" s="51">
        <v>3</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8"/>
      <c r="X81" s="28">
        <f ca="1">Horarios!C81</f>
        <v>46200.916666666664</v>
      </c>
      <c r="Y81" s="29">
        <f ca="1">Horarios!C81</f>
        <v>46200.916666666664</v>
      </c>
      <c r="Z81" s="30" t="str">
        <f>$Z$8</f>
        <v>J3</v>
      </c>
      <c r="AA81" s="31" t="str">
        <f ca="1">A80</f>
        <v>Jordania</v>
      </c>
      <c r="AB81" s="52" t="e" cm="1" vm="41">
        <f t="array" aca="1" ref="AB81" ca="1">Ver_flag_local</f>
        <v>#VALUE!</v>
      </c>
      <c r="AC81" s="53">
        <v>1</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73" t="s">
        <v>449</v>
      </c>
      <c r="X84" s="24">
        <f ca="1">Horarios!C84</f>
        <v>46190.541666666664</v>
      </c>
      <c r="Y84" s="25">
        <f ca="1">Horarios!C84</f>
        <v>46190.541666666664</v>
      </c>
      <c r="Z84" s="26" t="str">
        <f>$Z$4</f>
        <v>J1</v>
      </c>
      <c r="AA84" s="27" t="str">
        <f ca="1">A85</f>
        <v>Portugal</v>
      </c>
      <c r="AB84" s="49" t="e" cm="1" vm="42">
        <f t="array" aca="1" ref="AB84" ca="1">Ver_flag_local</f>
        <v>#VALUE!</v>
      </c>
      <c r="AC84" s="50">
        <v>1</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73"/>
      <c r="X85" s="24">
        <f ca="1">Horarios!C85</f>
        <v>46190.916666666664</v>
      </c>
      <c r="Y85" s="25">
        <f ca="1">Horarios!C85</f>
        <v>46190.916666666664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73"/>
      <c r="X86" s="24">
        <f ca="1">Horarios!C86</f>
        <v>46196.541666666664</v>
      </c>
      <c r="Y86" s="25">
        <f ca="1">Horarios!C86</f>
        <v>46196.541666666664</v>
      </c>
      <c r="Z86" s="26" t="str">
        <f>$Z$6</f>
        <v>J2</v>
      </c>
      <c r="AA86" s="27" t="str">
        <f ca="1">A85</f>
        <v>Portugal</v>
      </c>
      <c r="AB86" s="49" t="e" cm="1" vm="42">
        <f t="array" aca="1" ref="AB86" ca="1">Ver_flag_local</f>
        <v>#VALUE!</v>
      </c>
      <c r="AC86" s="50">
        <v>5</v>
      </c>
      <c r="AD86" s="51">
        <v>0</v>
      </c>
      <c r="AE86" s="595" t="e" cm="1" vm="44">
        <f t="array" aca="1" ref="AE86" ca="1">Ver_flag_visit</f>
        <v>#VALUE!</v>
      </c>
      <c r="AF86" s="32" t="str">
        <f ca="1">A87</f>
        <v>Uzbekistán</v>
      </c>
      <c r="AG86" s="323">
        <f t="shared" si="266"/>
        <v>1</v>
      </c>
      <c r="AH86" s="195">
        <v>47</v>
      </c>
      <c r="AI86" s="181" t="str">
        <f>AJ86&amp;$B$84</f>
        <v>1K</v>
      </c>
      <c r="AJ86" s="40">
        <v>1</v>
      </c>
      <c r="AK86" s="601"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73"/>
      <c r="X87" s="24">
        <f ca="1">Horarios!C87</f>
        <v>46196.916666666664</v>
      </c>
      <c r="Y87" s="25">
        <f ca="1">Horarios!C87</f>
        <v>46196.916666666664</v>
      </c>
      <c r="Z87" s="26" t="str">
        <f>$Z$6</f>
        <v>J2</v>
      </c>
      <c r="AA87" s="27" t="str">
        <f ca="1">A88</f>
        <v>Colombia</v>
      </c>
      <c r="AB87" s="49" t="e" cm="1" vm="45">
        <f t="array" aca="1" ref="AB87" ca="1">Ver_flag_local</f>
        <v>#VALUE!</v>
      </c>
      <c r="AC87" s="50">
        <v>1</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2">
        <f t="array" aca="1" ref="AK87" ca="1">Ver_flag_visit</f>
        <v>#VALUE!</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73"/>
      <c r="X88" s="24">
        <f ca="1">Horarios!C88</f>
        <v>46200.8125</v>
      </c>
      <c r="Y88" s="25">
        <f ca="1">Horarios!C88</f>
        <v>46200.8125</v>
      </c>
      <c r="Z88" s="26" t="str">
        <f>$Z$8</f>
        <v>J3</v>
      </c>
      <c r="AA88" s="27" t="str">
        <f ca="1">A88</f>
        <v>Colombia</v>
      </c>
      <c r="AB88" s="49" t="e" cm="1" vm="45">
        <f t="array" aca="1" ref="AB88" ca="1">Ver_flag_local</f>
        <v>#VALUE!</v>
      </c>
      <c r="AC88" s="50">
        <v>0</v>
      </c>
      <c r="AD88" s="51">
        <v>0</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74"/>
      <c r="X89" s="28">
        <f ca="1">Horarios!C89</f>
        <v>46200.8125</v>
      </c>
      <c r="Y89" s="29">
        <f ca="1">Horarios!C89</f>
        <v>46200.8125</v>
      </c>
      <c r="Z89" s="30" t="str">
        <f>$Z$8</f>
        <v>J3</v>
      </c>
      <c r="AA89" s="31" t="str">
        <f ca="1">A86</f>
        <v>RD Congo</v>
      </c>
      <c r="AB89" s="52" t="e" cm="1" vm="43">
        <f t="array" aca="1" ref="AB89" ca="1">Ver_flag_local</f>
        <v>#VALUE!</v>
      </c>
      <c r="AC89" s="53">
        <v>3</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247</v>
      </c>
      <c r="X92" s="24">
        <f ca="1">Horarios!C92</f>
        <v>46190.666666666664</v>
      </c>
      <c r="Y92" s="25">
        <f ca="1">Horarios!C92</f>
        <v>46190.666666666664</v>
      </c>
      <c r="Z92" s="26" t="str">
        <f>$Z$4</f>
        <v>J1</v>
      </c>
      <c r="AA92" s="27" t="str">
        <f ca="1">A93</f>
        <v>Inglaterra</v>
      </c>
      <c r="AB92" s="49" t="e" cm="1" vm="46">
        <f t="array" aca="1" ref="AB92" ca="1">Ver_flag_local</f>
        <v>#VALUE!</v>
      </c>
      <c r="AC92" s="50">
        <v>4</v>
      </c>
      <c r="AD92" s="51">
        <v>2</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46190.791666666664</v>
      </c>
      <c r="Y93" s="25">
        <f ca="1">Horarios!C93</f>
        <v>46190.791666666664</v>
      </c>
      <c r="Z93" s="26" t="str">
        <f>$Z$4</f>
        <v>J1</v>
      </c>
      <c r="AA93" s="27" t="str">
        <f ca="1">A95</f>
        <v>Ghana</v>
      </c>
      <c r="AB93" s="49" t="e" cm="1" vm="48">
        <f t="array" aca="1" ref="AB93" ca="1">Ver_flag_local</f>
        <v>#VALUE!</v>
      </c>
      <c r="AC93" s="50">
        <v>1</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46196.666666666664</v>
      </c>
      <c r="Y94" s="25">
        <f ca="1">Horarios!C94</f>
        <v>46196.666666666664</v>
      </c>
      <c r="Z94" s="26" t="str">
        <f>$Z$6</f>
        <v>J2</v>
      </c>
      <c r="AA94" s="27" t="str">
        <f ca="1">A93</f>
        <v>Inglaterra</v>
      </c>
      <c r="AB94" s="49" t="e" cm="1" vm="46">
        <f t="array" aca="1" ref="AB94" ca="1">Ver_flag_local</f>
        <v>#VALUE!</v>
      </c>
      <c r="AC94" s="50">
        <v>0</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46196.791666666664</v>
      </c>
      <c r="Y95" s="25">
        <f ca="1">Horarios!C95</f>
        <v>46196.791666666664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46200.708333333336</v>
      </c>
      <c r="Y96" s="25">
        <f ca="1">Horarios!C96</f>
        <v>46200.708333333336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46200.708333333336</v>
      </c>
      <c r="Y97" s="29">
        <f ca="1">Horarios!C97</f>
        <v>46200.708333333336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75" t="s">
        <v>493</v>
      </c>
      <c r="X101" s="24">
        <f ca="1">Horarios!C101</f>
        <v>46201.625</v>
      </c>
      <c r="Y101" s="25">
        <f ca="1">Horarios!C101</f>
        <v>46201.625</v>
      </c>
      <c r="Z101" s="280">
        <f>AH101</f>
        <v>73</v>
      </c>
      <c r="AA101" s="88" t="str">
        <f t="shared" ref="AA101:AA116" ca="1" si="292">+INDEX($M$101:$M$147,MATCH(AH101,$J$101:$J$147,0))</f>
        <v>Sudáfrica</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75"/>
      <c r="X102" s="24">
        <f ca="1">Horarios!C102</f>
        <v>46202.541666666664</v>
      </c>
      <c r="Y102" s="25">
        <f ca="1">Horarios!C102</f>
        <v>46202.541666666664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5" t="e" cm="1" vm="43">
        <f t="array" aca="1" ref="AK102" ca="1">Ver_flag_visit</f>
        <v>#VALUE!</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46202.6875</v>
      </c>
      <c r="Y103" s="25">
        <f ca="1">Horarios!C103</f>
        <v>46202.6875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e" cm="1" vm="23">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75"/>
      <c r="X104" s="24">
        <f ca="1">Horarios!C104</f>
        <v>46202.875</v>
      </c>
      <c r="Y104" s="25">
        <f ca="1">Horarios!C104</f>
        <v>46202.875</v>
      </c>
      <c r="Z104" s="280">
        <f t="shared" si="296"/>
        <v>75</v>
      </c>
      <c r="AA104" s="88" t="str">
        <f t="shared" ca="1" si="292"/>
        <v>Países Bajos</v>
      </c>
      <c r="AB104" s="89">
        <v>4</v>
      </c>
      <c r="AC104" s="92">
        <v>1</v>
      </c>
      <c r="AD104" s="92">
        <v>1</v>
      </c>
      <c r="AE104" s="89">
        <v>3</v>
      </c>
      <c r="AF104" s="91" t="str">
        <f t="shared" ca="1" si="293"/>
        <v>Marruecos</v>
      </c>
      <c r="AG104" s="327">
        <f t="shared" ca="1" si="294"/>
        <v>1</v>
      </c>
      <c r="AH104" s="195">
        <v>75</v>
      </c>
      <c r="AI104" s="182">
        <v>3</v>
      </c>
      <c r="AJ104" s="42">
        <v>3</v>
      </c>
      <c r="AK104" s="602" t="e" cm="1" vm="20">
        <f t="array" aca="1" ref="AK104" ca="1">Ver_flag_visit</f>
        <v>#VALUE!</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75"/>
      <c r="X105" s="24">
        <f ca="1">Horarios!C105</f>
        <v>46203.541666666664</v>
      </c>
      <c r="Y105" s="25">
        <f ca="1">Horarios!C105</f>
        <v>46203.541666666664</v>
      </c>
      <c r="Z105" s="280">
        <f t="shared" si="296"/>
        <v>78</v>
      </c>
      <c r="AA105" s="88" t="str">
        <f t="shared" ca="1" si="292"/>
        <v>Costa de Marfil</v>
      </c>
      <c r="AB105" s="89">
        <v>4</v>
      </c>
      <c r="AC105" s="92">
        <v>1</v>
      </c>
      <c r="AD105" s="92">
        <v>1</v>
      </c>
      <c r="AE105" s="89">
        <v>5</v>
      </c>
      <c r="AF105" s="91" t="str">
        <f t="shared" ca="1" si="293"/>
        <v>Noruega</v>
      </c>
      <c r="AG105" s="327">
        <f t="shared" ca="1" si="294"/>
        <v>1</v>
      </c>
      <c r="AH105" s="195">
        <v>78</v>
      </c>
      <c r="AI105" s="182">
        <v>4</v>
      </c>
      <c r="AJ105" s="42">
        <v>4</v>
      </c>
      <c r="AK105" s="602" t="e" cm="1" vm="48">
        <f t="array" aca="1" ref="AK105" ca="1">Ver_flag_visit</f>
        <v>#VALUE!</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46203.708333333336</v>
      </c>
      <c r="Y106" s="25">
        <f ca="1">Horarios!C106</f>
        <v>46203.708333333336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e" cm="1" vm="6">
        <f t="array" aca="1" ref="AK106" ca="1">Ver_flag_visit</f>
        <v>#VALUE!</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75"/>
      <c r="X107" s="24">
        <f ca="1">Horarios!C107</f>
        <v>46203.875</v>
      </c>
      <c r="Y107" s="25">
        <f ca="1">Horarios!C107</f>
        <v>46203.875</v>
      </c>
      <c r="Z107" s="280">
        <f t="shared" si="296"/>
        <v>79</v>
      </c>
      <c r="AA107" s="88" t="str">
        <f t="shared" ca="1" si="292"/>
        <v>México</v>
      </c>
      <c r="AB107" s="89"/>
      <c r="AC107" s="92">
        <v>2</v>
      </c>
      <c r="AD107" s="92">
        <v>0</v>
      </c>
      <c r="AE107" s="89"/>
      <c r="AF107" s="91" t="str">
        <f t="shared" ca="1" si="293"/>
        <v>Ecuador</v>
      </c>
      <c r="AG107" s="327">
        <f t="shared" ca="1" si="294"/>
        <v>1</v>
      </c>
      <c r="AH107" s="195">
        <v>79</v>
      </c>
      <c r="AI107" s="182">
        <v>6</v>
      </c>
      <c r="AJ107" s="42">
        <v>6</v>
      </c>
      <c r="AK107" s="602" t="e" cm="1" vm="39">
        <f t="array" aca="1" ref="AK107" ca="1">Ver_flag_visit</f>
        <v>#VALUE!</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75"/>
      <c r="X108" s="24">
        <f ca="1">Horarios!C108</f>
        <v>46204.5</v>
      </c>
      <c r="Y108" s="25">
        <f ca="1">Horarios!C108</f>
        <v>46204.5</v>
      </c>
      <c r="Z108" s="280">
        <f t="shared" si="296"/>
        <v>80</v>
      </c>
      <c r="AA108" s="88" t="str">
        <f t="shared" ca="1" si="292"/>
        <v>Inglaterra</v>
      </c>
      <c r="AB108" s="89"/>
      <c r="AC108" s="92">
        <v>3</v>
      </c>
      <c r="AD108" s="92">
        <v>0</v>
      </c>
      <c r="AE108" s="89"/>
      <c r="AF108" s="91" t="str">
        <f t="shared" ca="1" si="293"/>
        <v>RD Congo</v>
      </c>
      <c r="AG108" s="327">
        <f t="shared" ca="1" si="294"/>
        <v>1</v>
      </c>
      <c r="AH108" s="195">
        <v>80</v>
      </c>
      <c r="AI108" s="182">
        <v>7</v>
      </c>
      <c r="AJ108" s="42">
        <v>7</v>
      </c>
      <c r="AK108" s="602" t="e" cm="1" vm="14">
        <f t="array" aca="1" ref="AK108" ca="1">Ver_flag_visit</f>
        <v>#VALUE!</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75"/>
      <c r="X109" s="24">
        <f ca="1">Horarios!C109</f>
        <v>46204.666666666664</v>
      </c>
      <c r="Y109" s="25">
        <f ca="1">Horarios!C109</f>
        <v>46204.666666666664</v>
      </c>
      <c r="Z109" s="280">
        <f t="shared" si="296"/>
        <v>82</v>
      </c>
      <c r="AA109" s="88" t="str">
        <f t="shared" ca="1" si="292"/>
        <v>Bélgica</v>
      </c>
      <c r="AB109" s="89"/>
      <c r="AC109" s="92">
        <v>3</v>
      </c>
      <c r="AD109" s="92">
        <v>1</v>
      </c>
      <c r="AE109" s="89"/>
      <c r="AF109" s="91" t="str">
        <f t="shared" ca="1" si="293"/>
        <v>Senegal</v>
      </c>
      <c r="AG109" s="327">
        <f t="shared" ca="1" si="294"/>
        <v>1</v>
      </c>
      <c r="AH109" s="195">
        <v>82</v>
      </c>
      <c r="AI109" s="182">
        <v>8</v>
      </c>
      <c r="AJ109" s="42">
        <v>8</v>
      </c>
      <c r="AK109" s="602" t="e" cm="1" vm="35">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75"/>
      <c r="X110" s="24">
        <f ca="1">Horarios!C110</f>
        <v>46204.833333333336</v>
      </c>
      <c r="Y110" s="25">
        <f ca="1">Horarios!C110</f>
        <v>46204.833333333336</v>
      </c>
      <c r="Z110" s="280">
        <f t="shared" si="296"/>
        <v>81</v>
      </c>
      <c r="AA110" s="88" t="str">
        <f t="shared" ca="1" si="292"/>
        <v>Estados Unidos</v>
      </c>
      <c r="AB110" s="89"/>
      <c r="AC110" s="92">
        <v>2</v>
      </c>
      <c r="AD110" s="92">
        <v>1</v>
      </c>
      <c r="AE110" s="89"/>
      <c r="AF110" s="91" t="str">
        <f t="shared" ca="1" si="293"/>
        <v>Bosnia y Herzegovina</v>
      </c>
      <c r="AG110" s="327">
        <f t="shared" ca="1" si="294"/>
        <v>1</v>
      </c>
      <c r="AH110" s="195">
        <v>81</v>
      </c>
      <c r="AI110" s="182">
        <v>9</v>
      </c>
      <c r="AJ110" s="42">
        <v>9</v>
      </c>
      <c r="AK110" s="602" t="e" cm="1" vm="27">
        <f t="array" aca="1" ref="AK110" ca="1">Ver_flag_visit</f>
        <v>#VALUE!</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46205.625</v>
      </c>
      <c r="Y111" s="25">
        <f ca="1">Horarios!C111</f>
        <v>46205.625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e" cm="1" vm="3">
        <f t="array" aca="1" ref="AK111" ca="1">Ver_flag_visit</f>
        <v>#VALUE!</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5.9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75"/>
      <c r="X112" s="24">
        <f ca="1">Horarios!C112</f>
        <v>46205.791666666664</v>
      </c>
      <c r="Y112" s="25">
        <f ca="1">Horarios!C112</f>
        <v>46205.791666666664</v>
      </c>
      <c r="Z112" s="280">
        <f t="shared" si="296"/>
        <v>83</v>
      </c>
      <c r="AA112" s="88" t="str">
        <f t="shared" ca="1" si="292"/>
        <v>Portugal</v>
      </c>
      <c r="AB112" s="89">
        <v>3</v>
      </c>
      <c r="AC112" s="92">
        <v>1</v>
      </c>
      <c r="AD112" s="92">
        <v>1</v>
      </c>
      <c r="AE112" s="89">
        <v>4</v>
      </c>
      <c r="AF112" s="91" t="str">
        <f t="shared" ca="1" si="293"/>
        <v>Croacia</v>
      </c>
      <c r="AG112" s="327">
        <f t="shared" ca="1" si="294"/>
        <v>1</v>
      </c>
      <c r="AH112" s="195">
        <v>83</v>
      </c>
      <c r="AI112" s="182">
        <v>11</v>
      </c>
      <c r="AJ112" s="42">
        <v>11</v>
      </c>
      <c r="AK112" s="602" t="e" cm="1" vm="12">
        <f t="array" aca="1" ref="AK112" ca="1">Ver_flag_visit</f>
        <v>#VALUE!</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75"/>
      <c r="X113" s="24">
        <f ca="1">Horarios!C113</f>
        <v>46205.958333333336</v>
      </c>
      <c r="Y113" s="25">
        <f ca="1">Horarios!C113</f>
        <v>46205.958333333336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e" cm="1" vm="33">
        <f t="array" aca="1" ref="AK113" ca="1">Ver_flag_visit</f>
        <v>#VALUE!</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5.9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75"/>
      <c r="X114" s="24">
        <f ca="1">Horarios!C114</f>
        <v>46206.583333333336</v>
      </c>
      <c r="Y114" s="25">
        <f ca="1">Horarios!C114</f>
        <v>46206.583333333336</v>
      </c>
      <c r="Z114" s="280">
        <f t="shared" si="296"/>
        <v>88</v>
      </c>
      <c r="AA114" s="88" t="str">
        <f t="shared" ca="1" si="292"/>
        <v>Australia</v>
      </c>
      <c r="AB114" s="89"/>
      <c r="AC114" s="92">
        <v>1</v>
      </c>
      <c r="AD114" s="92">
        <v>2</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46206.75</v>
      </c>
      <c r="Y115" s="25">
        <f ca="1">Horarios!C115</f>
        <v>46206.75</v>
      </c>
      <c r="Z115" s="280">
        <f t="shared" si="296"/>
        <v>86</v>
      </c>
      <c r="AA115" s="88" t="str">
        <f t="shared" ca="1" si="292"/>
        <v>Argentina</v>
      </c>
      <c r="AB115" s="89"/>
      <c r="AC115" s="92">
        <v>3</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76"/>
      <c r="X116" s="28">
        <f ca="1">Horarios!C116</f>
        <v>46206.895833333336</v>
      </c>
      <c r="Y116" s="29">
        <f ca="1">Horarios!C116</f>
        <v>46206.895833333336</v>
      </c>
      <c r="Z116" s="281">
        <f t="shared" si="296"/>
        <v>87</v>
      </c>
      <c r="AA116" s="93" t="str">
        <f t="shared" ca="1" si="292"/>
        <v>Colombia</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77"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77"/>
      <c r="X121" s="24">
        <f ca="1">Horarios!C121</f>
        <v>46207.708333333336</v>
      </c>
      <c r="Y121" s="25">
        <f ca="1">Horarios!C121</f>
        <v>46207.708333333336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77"/>
      <c r="X122" s="24">
        <f ca="1">Horarios!C122</f>
        <v>46208.666666666664</v>
      </c>
      <c r="Y122" s="25">
        <f ca="1">Horarios!C122</f>
        <v>46208.666666666664</v>
      </c>
      <c r="Z122" s="280">
        <f t="shared" si="319"/>
        <v>91</v>
      </c>
      <c r="AA122" s="88" t="str">
        <f t="shared" ca="1" si="320"/>
        <v>Brasil</v>
      </c>
      <c r="AB122" s="89"/>
      <c r="AC122" s="97">
        <v>2</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77"/>
      <c r="X123" s="24">
        <f ca="1">Horarios!C123</f>
        <v>46208.833333333336</v>
      </c>
      <c r="Y123" s="25">
        <f ca="1">Horarios!C123</f>
        <v>46208.833333333336</v>
      </c>
      <c r="Z123" s="280">
        <f t="shared" si="319"/>
        <v>92</v>
      </c>
      <c r="AA123" s="88" t="str">
        <f t="shared" ca="1" si="320"/>
        <v>México</v>
      </c>
      <c r="AB123" s="89"/>
      <c r="AC123" s="97">
        <v>0</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77"/>
      <c r="X124" s="24">
        <f ca="1">Horarios!C124</f>
        <v>46209.625</v>
      </c>
      <c r="Y124" s="25">
        <f ca="1">Horarios!C124</f>
        <v>46209.625</v>
      </c>
      <c r="Z124" s="280">
        <f t="shared" si="319"/>
        <v>93</v>
      </c>
      <c r="AA124" s="88" t="str">
        <f t="shared" ca="1" si="320"/>
        <v>Croacia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77"/>
      <c r="X125" s="24">
        <f ca="1">Horarios!C125</f>
        <v>46209.833333333336</v>
      </c>
      <c r="Y125" s="25">
        <f ca="1">Horarios!C125</f>
        <v>46209.833333333336</v>
      </c>
      <c r="Z125" s="280">
        <f t="shared" si="319"/>
        <v>94</v>
      </c>
      <c r="AA125" s="88" t="str">
        <f t="shared" ca="1" si="320"/>
        <v>Estados Unidos</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77"/>
      <c r="X126" s="24">
        <f ca="1">Horarios!C126</f>
        <v>46210.5</v>
      </c>
      <c r="Y126" s="25">
        <f ca="1">Horarios!C126</f>
        <v>46210.5</v>
      </c>
      <c r="Z126" s="280">
        <f t="shared" si="319"/>
        <v>95</v>
      </c>
      <c r="AA126" s="88" t="str">
        <f t="shared" ca="1" si="320"/>
        <v>Argentina</v>
      </c>
      <c r="AB126" s="89"/>
      <c r="AC126" s="99">
        <v>3</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78"/>
      <c r="X127" s="28">
        <f ca="1">Horarios!C127</f>
        <v>46210.666666666664</v>
      </c>
      <c r="Y127" s="29">
        <f ca="1">Horarios!C127</f>
        <v>46210.666666666664</v>
      </c>
      <c r="Z127" s="281">
        <f t="shared" si="319"/>
        <v>96</v>
      </c>
      <c r="AA127" s="93" t="str">
        <f t="shared" ca="1" si="320"/>
        <v>Suiza</v>
      </c>
      <c r="AB127" s="94"/>
      <c r="AC127" s="100">
        <v>1</v>
      </c>
      <c r="AD127" s="100">
        <v>2</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79" t="s">
        <v>36</v>
      </c>
      <c r="X131" s="24">
        <f ca="1">Horarios!C131</f>
        <v>46212.666666666664</v>
      </c>
      <c r="Y131" s="25">
        <f ca="1">Horarios!C131</f>
        <v>46212.666666666664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79"/>
      <c r="X132" s="24">
        <f ca="1">Horarios!C132</f>
        <v>46213.625</v>
      </c>
      <c r="Y132" s="25">
        <f ca="1">Horarios!C132</f>
        <v>46213.625</v>
      </c>
      <c r="Z132" s="282">
        <f t="shared" si="324"/>
        <v>98</v>
      </c>
      <c r="AA132" s="88" t="str">
        <f t="shared" ca="1" si="325"/>
        <v>España</v>
      </c>
      <c r="AB132" s="89"/>
      <c r="AC132" s="99">
        <v>3</v>
      </c>
      <c r="AD132" s="99">
        <v>1</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79"/>
      <c r="X133" s="24">
        <f ca="1">Horarios!C133</f>
        <v>46214.708333333336</v>
      </c>
      <c r="Y133" s="25">
        <f ca="1">Horarios!C133</f>
        <v>46214.708333333336</v>
      </c>
      <c r="Z133" s="282">
        <f t="shared" si="324"/>
        <v>99</v>
      </c>
      <c r="AA133" s="88" t="str">
        <f t="shared" ca="1" si="325"/>
        <v>Brasil</v>
      </c>
      <c r="AB133" s="89">
        <v>5</v>
      </c>
      <c r="AC133" s="99">
        <v>1</v>
      </c>
      <c r="AD133" s="99">
        <v>1</v>
      </c>
      <c r="AE133" s="89">
        <v>4</v>
      </c>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80"/>
      <c r="X134" s="28">
        <f ca="1">Horarios!C134</f>
        <v>46214.875</v>
      </c>
      <c r="Y134" s="29">
        <f ca="1">Horarios!C134</f>
        <v>46214.875</v>
      </c>
      <c r="Z134" s="283">
        <f t="shared" si="324"/>
        <v>100</v>
      </c>
      <c r="AA134" s="93" t="str">
        <f t="shared" ca="1" si="325"/>
        <v>Argentina</v>
      </c>
      <c r="AB134" s="94"/>
      <c r="AC134" s="100">
        <v>2</v>
      </c>
      <c r="AD134" s="100">
        <v>0</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81" t="s">
        <v>37</v>
      </c>
      <c r="X138" s="24">
        <f ca="1">Horarios!C138</f>
        <v>46217.625</v>
      </c>
      <c r="Y138" s="25">
        <f ca="1">Horarios!C138</f>
        <v>46217.625</v>
      </c>
      <c r="Z138" s="282">
        <f t="shared" ref="Z138:Z139" si="326">AH138</f>
        <v>101</v>
      </c>
      <c r="AA138" s="88" t="str">
        <f t="shared" ref="AA138:AA139" ca="1" si="327">+INDEX($M$101:$M$147,MATCH(AH138,$J$101:$J$147,0))</f>
        <v>Francia</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82"/>
      <c r="X139" s="123">
        <f ca="1">Horarios!C139</f>
        <v>46218.625</v>
      </c>
      <c r="Y139" s="124">
        <f ca="1">Horarios!C139</f>
        <v>46218.625</v>
      </c>
      <c r="Z139" s="284">
        <f t="shared" si="326"/>
        <v>102</v>
      </c>
      <c r="AA139" s="139" t="str">
        <f t="shared" ca="1" si="327"/>
        <v>Brasil</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Argentina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España</v>
      </c>
      <c r="AB143" s="216">
        <v>5</v>
      </c>
      <c r="AC143" s="105">
        <v>1</v>
      </c>
      <c r="AD143" s="105">
        <v>1</v>
      </c>
      <c r="AE143" s="216">
        <v>4</v>
      </c>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Francia</v>
      </c>
      <c r="N147" s="16" t="str">
        <f ca="1">+INDEX($D$101:$D$147,MATCH(F147,$AH$101:$AH$147,0))</f>
        <v>Argentina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Francia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43" t="str">
        <f ca="1">IF(SUM(COUNTIF(AG4:AG97,0),COUNTIF(AG101:AG160,0)&gt;0),AL148,AL149)</f>
        <v>PORRA INCOMPLETA:</v>
      </c>
      <c r="AK151" s="644"/>
      <c r="AL151" s="644"/>
      <c r="AM151" s="644"/>
      <c r="AN151" s="644"/>
      <c r="AO151" s="644"/>
      <c r="AP151" s="644"/>
      <c r="AQ151" s="644"/>
      <c r="AR151" s="644"/>
      <c r="AS151" s="644"/>
      <c r="AT151" s="644"/>
      <c r="AU151" s="64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98"/>
      <c r="AC154" s="398"/>
      <c r="AD154" s="398"/>
      <c r="AE154" s="398"/>
      <c r="AF154" s="399"/>
      <c r="AG154" s="327">
        <f>IF(AA154=$AH$154,0,IF(AA154="",0,1))</f>
        <v>0</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57" t="str">
        <f ca="1">IF(SUM(COUNTIF(AG4:AG97,0),COUNTIF(AG101:AG160,0)&gt;0),AM148,AM149)</f>
        <v>Aún falta alguna apuesta</v>
      </c>
      <c r="AK155" s="658"/>
      <c r="AL155" s="658"/>
      <c r="AM155" s="658"/>
      <c r="AN155" s="658"/>
      <c r="AO155" s="658"/>
      <c r="AP155" s="658"/>
      <c r="AQ155" s="658"/>
      <c r="AR155" s="658"/>
      <c r="AS155" s="658"/>
      <c r="AT155" s="658"/>
      <c r="AU155" s="659"/>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98"/>
      <c r="AC158" s="398"/>
      <c r="AD158" s="398"/>
      <c r="AE158" s="398"/>
      <c r="AF158" s="399"/>
      <c r="AG158" s="327">
        <f>IF(AA158=$AH$154,0,IF(AA158="",0,1))</f>
        <v>0</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55" t="str">
        <f>+Idiomas!D12</f>
        <v>Donar</v>
      </c>
      <c r="AP162" s="656"/>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95" customHeight="1">
      <c r="A5" s="353"/>
      <c r="B5" s="354" t="str">
        <f>Idiomas!D125</f>
        <v>FASE DE GRUPOS</v>
      </c>
      <c r="C5" s="346" t="str">
        <f>Home!C10</f>
        <v>8pi</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9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9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Sudáfrica-Canadá·2|1-2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706"/>
      <c r="E165" s="692"/>
      <c r="F165" s="692"/>
      <c r="G165" s="692"/>
      <c r="H165" s="692"/>
      <c r="I165" s="352"/>
      <c r="J165" s="370"/>
      <c r="K165" s="370"/>
      <c r="L165" s="370"/>
      <c r="M165" s="386"/>
      <c r="N165" s="377"/>
    </row>
    <row r="166" spans="1:14" ht="15" customHeight="1">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706"/>
      <c r="E167" s="692"/>
      <c r="F167" s="692"/>
      <c r="G167" s="692"/>
      <c r="H167" s="692"/>
      <c r="I167" s="352"/>
      <c r="J167" s="370"/>
      <c r="K167" s="370"/>
      <c r="L167" s="370"/>
      <c r="M167" s="386"/>
      <c r="N167" s="377"/>
    </row>
    <row r="168" spans="1:14" ht="15" customHeight="1">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Marfil-Noruega·X|1-1</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706"/>
      <c r="E169" s="370"/>
      <c r="F169" s="370"/>
      <c r="G169" s="370"/>
      <c r="H169" s="370"/>
      <c r="I169" s="352"/>
      <c r="J169" s="370"/>
      <c r="K169" s="370"/>
      <c r="L169" s="370"/>
      <c r="M169" s="386"/>
      <c r="N169" s="377"/>
    </row>
    <row r="170" spans="1:14" ht="15" customHeight="1">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México-Ecuador·1|2-0</v>
      </c>
      <c r="D170" s="706"/>
      <c r="E170" s="370"/>
      <c r="F170" s="370"/>
      <c r="G170" s="370"/>
      <c r="H170" s="370"/>
      <c r="I170" s="352"/>
      <c r="J170" s="370"/>
      <c r="K170" s="370"/>
      <c r="L170" s="370"/>
      <c r="M170" s="386"/>
      <c r="N170" s="377"/>
    </row>
    <row r="171" spans="1:14" ht="15" customHeight="1">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Congo·1|3-0</v>
      </c>
      <c r="D171" s="706"/>
      <c r="E171" s="370"/>
      <c r="F171" s="370"/>
      <c r="G171" s="370"/>
      <c r="H171" s="370"/>
      <c r="I171" s="352"/>
      <c r="J171" s="370"/>
      <c r="K171" s="370"/>
      <c r="L171" s="370"/>
      <c r="M171" s="386"/>
      <c r="N171" s="377"/>
    </row>
    <row r="172" spans="1:14" ht="15" customHeight="1">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Bélgica-Senegal·1|3-1</v>
      </c>
      <c r="D172" s="706"/>
      <c r="E172" s="370"/>
      <c r="F172" s="370"/>
      <c r="G172" s="370"/>
      <c r="H172" s="370"/>
      <c r="I172" s="352"/>
      <c r="J172" s="370"/>
      <c r="K172" s="370"/>
      <c r="L172" s="370"/>
      <c r="M172" s="386"/>
      <c r="N172" s="377"/>
    </row>
    <row r="173" spans="1:14" ht="15" customHeight="1">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Herzegovina·1|2-1</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706"/>
      <c r="E174" s="370"/>
      <c r="F174" s="370"/>
      <c r="G174" s="370"/>
      <c r="H174" s="370"/>
      <c r="I174" s="352"/>
      <c r="J174" s="370"/>
      <c r="K174" s="370"/>
      <c r="L174" s="370"/>
      <c r="M174" s="386"/>
      <c r="N174" s="377"/>
    </row>
    <row r="175" spans="1:14" ht="15" customHeight="1">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Portugal-Croacia·X|1-1</v>
      </c>
      <c r="D175" s="706"/>
      <c r="E175" s="370"/>
      <c r="F175" s="370"/>
      <c r="G175" s="370"/>
      <c r="H175" s="370"/>
      <c r="I175" s="352"/>
      <c r="J175" s="370"/>
      <c r="K175" s="370"/>
      <c r="L175" s="370"/>
      <c r="M175" s="386"/>
      <c r="N175" s="377"/>
    </row>
    <row r="176" spans="1:14" ht="15" customHeight="1">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706"/>
      <c r="E176" s="370"/>
      <c r="F176" s="370"/>
      <c r="G176" s="370"/>
      <c r="H176" s="370"/>
      <c r="I176" s="352"/>
      <c r="J176" s="370"/>
      <c r="K176" s="370"/>
      <c r="L176" s="370"/>
      <c r="M176" s="386"/>
      <c r="N176" s="377"/>
    </row>
    <row r="177" spans="1:14" ht="15" customHeight="1">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Australia-Egipto·2|1-2</v>
      </c>
      <c r="D177" s="706"/>
      <c r="E177" s="370"/>
      <c r="F177" s="370"/>
      <c r="G177" s="370"/>
      <c r="H177" s="370"/>
      <c r="I177" s="352"/>
      <c r="J177" s="370"/>
      <c r="K177" s="370"/>
      <c r="L177" s="370"/>
      <c r="M177" s="386"/>
      <c r="N177" s="377"/>
    </row>
    <row r="178" spans="1:14" ht="15" customHeight="1">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Verde·1|3-0</v>
      </c>
      <c r="D178" s="706"/>
      <c r="E178" s="370"/>
      <c r="F178" s="370"/>
      <c r="G178" s="370"/>
      <c r="H178" s="370"/>
      <c r="I178" s="352"/>
      <c r="J178" s="370"/>
      <c r="K178" s="370"/>
      <c r="L178" s="370"/>
      <c r="M178" s="386"/>
      <c r="N178" s="377"/>
    </row>
    <row r="179" spans="1:14" ht="15" customHeight="1">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9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Croacia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Egipto</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Brasil-Noruega·1|2-0</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México-Inglaterra·2|0-2</v>
      </c>
      <c r="D203" s="686"/>
      <c r="E203" s="685"/>
      <c r="F203" s="685"/>
      <c r="G203" s="685"/>
      <c r="H203" s="685"/>
      <c r="I203" s="352"/>
      <c r="J203" s="370"/>
      <c r="K203" s="370"/>
      <c r="L203" s="370"/>
      <c r="M203" s="386"/>
      <c r="N203" s="377"/>
    </row>
    <row r="204" spans="1:14" ht="15" customHeight="1">
      <c r="A204" s="703"/>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Croacia-España·2|1-2</v>
      </c>
      <c r="D204" s="686"/>
      <c r="E204" s="352"/>
      <c r="F204" s="352"/>
      <c r="G204" s="352"/>
      <c r="H204" s="352"/>
      <c r="I204" s="352"/>
      <c r="J204" s="370"/>
      <c r="K204" s="370"/>
      <c r="L204" s="370"/>
      <c r="M204" s="386"/>
      <c r="N204" s="377"/>
    </row>
    <row r="205" spans="1:14" ht="15" customHeight="1">
      <c r="A205" s="703"/>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Unidos-Bélgica·2|1-2</v>
      </c>
      <c r="D205" s="686"/>
      <c r="E205" s="352"/>
      <c r="F205" s="352"/>
      <c r="G205" s="352"/>
      <c r="H205" s="352"/>
      <c r="I205" s="352"/>
      <c r="J205" s="370"/>
      <c r="K205" s="370"/>
      <c r="L205" s="370"/>
      <c r="M205" s="386"/>
      <c r="N205" s="377"/>
    </row>
    <row r="206" spans="1:14" ht="15" customHeight="1">
      <c r="A206" s="703"/>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Argentina-Egipto·1|3-0</v>
      </c>
      <c r="D206" s="686"/>
      <c r="E206" s="352"/>
      <c r="F206" s="352"/>
      <c r="G206" s="352"/>
      <c r="H206" s="352"/>
      <c r="I206" s="352"/>
      <c r="J206" s="370"/>
      <c r="K206" s="370"/>
      <c r="L206" s="370"/>
      <c r="M206" s="386"/>
      <c r="N206" s="377"/>
    </row>
    <row r="207" spans="1:14" ht="15" customHeight="1">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Suiza-Colombia·2|1-2</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9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Colombia</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España-Bélgica·1|3-1</v>
      </c>
      <c r="D221" s="706"/>
      <c r="E221" s="685"/>
      <c r="F221" s="685"/>
      <c r="G221" s="685"/>
      <c r="H221" s="685"/>
      <c r="I221" s="352"/>
      <c r="J221" s="370"/>
      <c r="K221" s="370"/>
      <c r="L221" s="370"/>
      <c r="M221" s="386"/>
      <c r="N221" s="377"/>
    </row>
    <row r="222" spans="1:14" ht="15" customHeight="1">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Brasil-Inglaterra·X|1-1</v>
      </c>
      <c r="D222" s="706"/>
      <c r="E222" s="685"/>
      <c r="F222" s="685"/>
      <c r="G222" s="685"/>
      <c r="H222" s="685"/>
      <c r="I222" s="352"/>
      <c r="J222" s="370"/>
      <c r="K222" s="370"/>
      <c r="L222" s="370"/>
      <c r="M222" s="386"/>
      <c r="N222" s="377"/>
    </row>
    <row r="223" spans="1:14" ht="15" customHeight="1">
      <c r="A223" s="703"/>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Argentina-Colombia·1|2-0</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7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Brasil</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Francia-España·1|2-1</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Brasil-Argentina·2|1-2</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7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España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Brasil</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9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Francia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Argentina</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España-Brasil</v>
      </c>
      <c r="C244" s="349" t="str">
        <f ca="1">CONCATENATE(WORLDCUP!AA143,"-",WORLDCUP!AF143,"·",IF(WORLDCUP!AC143&gt;WORLDCUP!AD143,1,IF(WORLDCUP!AC143&lt;WORLDCUP!AD143,2,IF(AND(WORLDCUP!AC143=WORLDCUP!AD143,WORLDCUP!AC143&lt;&gt;"",WORLDCUP!AD143&lt;&gt;""),"X",0))),"|",WORLDCUP!AC143,"-",WORLDCUP!AD143)</f>
        <v>España-Brasil·X|1-1</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Francia-Argentina</v>
      </c>
      <c r="C247" s="351" t="str">
        <f ca="1">CONCATENATE(WORLDCUP!AA147,"-",WORLDCUP!AF147,"·",IF(WORLDCUP!AC147&gt;WORLDCUP!AD147,1,IF(WORLDCUP!AC147&lt;WORLDCUP!AD147,2,IF(AND(WORLDCUP!AC147=WORLDCUP!AD147,WORLDCUP!AC147&lt;&gt;"",WORLDCUP!AD147&lt;&gt;""),"X",0))),"|",WORLDCUP!AC147,"-",WORLDCUP!AD147)</f>
        <v>Francia-Argentina·1|2-1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9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Escribe un jugador</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Escribe un jugador</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( 4 )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( 3 )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1</v>
      </c>
      <c r="AC15" s="498" t="str">
        <f>+IF(ISBLANK(INDEX(WORLDCUP!$AB$101:$AB$147,MATCH(Y15,WORLDCUP!$Z$101:$Z$147,0))),"","( "&amp;INDEX(WORLDCUP!$AB$101:$AB$147,MATCH(Y15,WORLDCUP!$Z$101:$Z$147,0))&amp;" )")</f>
        <v>( 3 )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( 4 )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3</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( 4 )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( 5 )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( 5 )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1</v>
      </c>
      <c r="AS31" s="549" t="str">
        <f>+IF(ISBLANK(INDEX(WORLDCUP!$AB$101:$AB$147,MATCH(AP31,WORLDCUP!$Z$101:$Z$147,0))),"","( "&amp;INDEX(WORLDCUP!$AB$101:$AB$147,MATCH(AP31,WORLDCUP!$Z$101:$Z$147,0))&amp;" )")</f>
        <v>( 5 )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( 4 )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1</v>
      </c>
      <c r="AS32" s="460" t="str">
        <f>+IF(ISBLANK(INDEX(WORLDCUP!$AE$101:$AE$147,MATCH(AP32,WORLDCUP!$Z$101:$Z$147,0))),"","( "&amp;INDEX(WORLDCUP!$AE$101:$AE$147,MATCH(AP32,WORLDCUP!$Z$101:$Z$147,0))&amp;" )")</f>
        <v>( 4 )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1</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46196.916666666664</v>
      </c>
      <c r="D87" s="622"/>
    </row>
    <row r="88" spans="1:35">
      <c r="A88" s="594">
        <v>46200.8125</v>
      </c>
      <c r="B88" s="16"/>
      <c r="C88" s="594">
        <f t="shared" ca="1" si="35"/>
        <v>46200.8125</v>
      </c>
      <c r="D88" s="622"/>
    </row>
    <row r="89" spans="1:35">
      <c r="A89" s="594">
        <v>46200.8125</v>
      </c>
      <c r="B89" s="16"/>
      <c r="C89" s="594">
        <f t="shared" ca="1" si="35"/>
        <v>46200.8125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46190.666666666664</v>
      </c>
      <c r="D92" s="622"/>
    </row>
    <row r="93" spans="1:35">
      <c r="A93" s="594">
        <v>46190.791666666664</v>
      </c>
      <c r="B93" s="16"/>
      <c r="C93" s="594">
        <f t="shared" ca="1" si="36"/>
        <v>46190.791666666664</v>
      </c>
      <c r="D93" s="622"/>
    </row>
    <row r="94" spans="1:35">
      <c r="A94" s="594">
        <v>46196.666666666664</v>
      </c>
      <c r="B94" s="16"/>
      <c r="C94" s="594">
        <f t="shared" ca="1" si="36"/>
        <v>46196.666666666664</v>
      </c>
      <c r="D94" s="622"/>
    </row>
    <row r="95" spans="1:35">
      <c r="A95" s="594">
        <v>46196.791666666664</v>
      </c>
      <c r="B95" s="16"/>
      <c r="C95" s="594">
        <f t="shared" ca="1" si="36"/>
        <v>46196.791666666664</v>
      </c>
      <c r="D95" s="622"/>
    </row>
    <row r="96" spans="1:35">
      <c r="A96" s="594">
        <v>46200.708333333336</v>
      </c>
      <c r="B96" s="16"/>
      <c r="C96" s="594">
        <f t="shared" ca="1" si="36"/>
        <v>46200.708333333336</v>
      </c>
      <c r="D96" s="622"/>
    </row>
    <row r="97" spans="1:10">
      <c r="A97" s="594">
        <v>46200.708333333336</v>
      </c>
      <c r="B97" s="16"/>
      <c r="C97" s="594">
        <f t="shared" ca="1" si="36"/>
        <v>46200.708333333336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46201.625</v>
      </c>
      <c r="F101" s="16">
        <v>73</v>
      </c>
      <c r="G101" s="594">
        <v>46201.625</v>
      </c>
      <c r="I101" s="16">
        <v>73</v>
      </c>
      <c r="J101" s="594">
        <v>46201.625</v>
      </c>
    </row>
    <row r="102" spans="1:10">
      <c r="A102" s="594">
        <v>46202.541666666664</v>
      </c>
      <c r="B102" s="16"/>
      <c r="C102" s="594">
        <f t="shared" ca="1" si="37"/>
        <v>46202.541666666664</v>
      </c>
      <c r="F102" s="16">
        <v>76</v>
      </c>
      <c r="G102" s="594">
        <v>46202.541666666664</v>
      </c>
      <c r="I102" s="16">
        <v>74</v>
      </c>
      <c r="J102" s="594">
        <v>46202.6875</v>
      </c>
    </row>
    <row r="103" spans="1:10">
      <c r="A103" s="594">
        <v>46202.6875</v>
      </c>
      <c r="B103" s="16"/>
      <c r="C103" s="594">
        <f t="shared" ca="1" si="37"/>
        <v>46202.6875</v>
      </c>
      <c r="F103" s="16">
        <v>74</v>
      </c>
      <c r="G103" s="594">
        <v>46202.6875</v>
      </c>
      <c r="I103" s="16">
        <v>75</v>
      </c>
      <c r="J103" s="594">
        <v>46202.875</v>
      </c>
    </row>
    <row r="104" spans="1:10">
      <c r="A104" s="594">
        <v>46202.875</v>
      </c>
      <c r="B104" s="16"/>
      <c r="C104" s="594">
        <f t="shared" ca="1" si="37"/>
        <v>46202.875</v>
      </c>
      <c r="F104" s="16">
        <v>75</v>
      </c>
      <c r="G104" s="594">
        <v>46202.875</v>
      </c>
      <c r="I104" s="16">
        <v>76</v>
      </c>
      <c r="J104" s="594">
        <v>46202.541666666664</v>
      </c>
    </row>
    <row r="105" spans="1:10">
      <c r="A105" s="594">
        <v>46203.541666666664</v>
      </c>
      <c r="B105" s="16"/>
      <c r="C105" s="594">
        <f t="shared" ca="1" si="37"/>
        <v>46203.541666666664</v>
      </c>
      <c r="F105" s="16">
        <v>78</v>
      </c>
      <c r="G105" s="594">
        <v>46203.541666666664</v>
      </c>
      <c r="I105" s="16">
        <v>77</v>
      </c>
      <c r="J105" s="594">
        <v>46203.708333333336</v>
      </c>
    </row>
    <row r="106" spans="1:10">
      <c r="A106" s="594">
        <v>46203.708333333336</v>
      </c>
      <c r="B106" s="16"/>
      <c r="C106" s="594">
        <f t="shared" ca="1" si="37"/>
        <v>46203.708333333336</v>
      </c>
      <c r="F106" s="16">
        <v>77</v>
      </c>
      <c r="G106" s="594">
        <v>46203.708333333336</v>
      </c>
      <c r="I106" s="16">
        <v>78</v>
      </c>
      <c r="J106" s="594">
        <v>46203.541666666664</v>
      </c>
    </row>
    <row r="107" spans="1:10">
      <c r="A107" s="594">
        <v>46203.875</v>
      </c>
      <c r="B107" s="16"/>
      <c r="C107" s="594">
        <f t="shared" ca="1" si="37"/>
        <v>46203.875</v>
      </c>
      <c r="F107" s="16">
        <v>79</v>
      </c>
      <c r="G107" s="594">
        <v>46203.875</v>
      </c>
      <c r="I107" s="16">
        <v>79</v>
      </c>
      <c r="J107" s="594">
        <v>46203.875</v>
      </c>
    </row>
    <row r="108" spans="1:10">
      <c r="A108" s="594">
        <v>46204.5</v>
      </c>
      <c r="B108" s="16"/>
      <c r="C108" s="594">
        <f t="shared" ca="1" si="37"/>
        <v>46204.5</v>
      </c>
      <c r="F108" s="16">
        <v>80</v>
      </c>
      <c r="G108" s="594">
        <v>46204.5</v>
      </c>
      <c r="I108" s="16">
        <v>80</v>
      </c>
      <c r="J108" s="594">
        <v>46204.5</v>
      </c>
    </row>
    <row r="109" spans="1:10">
      <c r="A109" s="594">
        <v>46204.666666666664</v>
      </c>
      <c r="B109" s="16"/>
      <c r="C109" s="594">
        <f t="shared" ca="1" si="37"/>
        <v>46204.666666666664</v>
      </c>
      <c r="F109" s="16">
        <v>82</v>
      </c>
      <c r="G109" s="594">
        <v>46204.666666666664</v>
      </c>
      <c r="I109" s="16">
        <v>81</v>
      </c>
      <c r="J109" s="594">
        <v>46204.833333333336</v>
      </c>
    </row>
    <row r="110" spans="1:10">
      <c r="A110" s="594">
        <v>46204.833333333336</v>
      </c>
      <c r="B110" s="16"/>
      <c r="C110" s="594">
        <f t="shared" ca="1" si="37"/>
        <v>46204.833333333336</v>
      </c>
      <c r="F110" s="16">
        <v>81</v>
      </c>
      <c r="G110" s="594">
        <v>46204.833333333336</v>
      </c>
      <c r="I110" s="16">
        <v>82</v>
      </c>
      <c r="J110" s="594">
        <v>46204.666666666664</v>
      </c>
    </row>
    <row r="111" spans="1:10">
      <c r="A111" s="594">
        <v>46205.625</v>
      </c>
      <c r="B111" s="16"/>
      <c r="C111" s="594">
        <f t="shared" ca="1" si="37"/>
        <v>46205.625</v>
      </c>
      <c r="F111" s="16">
        <v>84</v>
      </c>
      <c r="G111" s="594">
        <v>46205.625</v>
      </c>
      <c r="I111" s="16">
        <v>83</v>
      </c>
      <c r="J111" s="594">
        <v>46205.791666666664</v>
      </c>
    </row>
    <row r="112" spans="1:10">
      <c r="A112" s="594">
        <v>46205.791666666664</v>
      </c>
      <c r="B112" s="16"/>
      <c r="C112" s="594">
        <f t="shared" ca="1" si="37"/>
        <v>46205.791666666664</v>
      </c>
      <c r="F112" s="16">
        <v>83</v>
      </c>
      <c r="G112" s="594">
        <v>46205.791666666664</v>
      </c>
      <c r="I112" s="16">
        <v>84</v>
      </c>
      <c r="J112" s="594">
        <v>46205.625</v>
      </c>
    </row>
    <row r="113" spans="1:10">
      <c r="A113" s="594">
        <v>46205.958333333336</v>
      </c>
      <c r="B113" s="16"/>
      <c r="C113" s="594">
        <f t="shared" ca="1" si="37"/>
        <v>46205.958333333336</v>
      </c>
      <c r="F113" s="16">
        <v>85</v>
      </c>
      <c r="G113" s="594">
        <v>46205.958333333336</v>
      </c>
      <c r="I113" s="16">
        <v>85</v>
      </c>
      <c r="J113" s="594">
        <v>46205.958333333336</v>
      </c>
    </row>
    <row r="114" spans="1:10">
      <c r="A114" s="594">
        <v>46206.583333333336</v>
      </c>
      <c r="B114" s="16"/>
      <c r="C114" s="594">
        <f t="shared" ca="1" si="37"/>
        <v>46206.583333333336</v>
      </c>
      <c r="F114" s="16">
        <v>88</v>
      </c>
      <c r="G114" s="594">
        <v>46206.583333333336</v>
      </c>
      <c r="I114" s="16">
        <v>86</v>
      </c>
      <c r="J114" s="594">
        <v>46206.75</v>
      </c>
    </row>
    <row r="115" spans="1:10">
      <c r="A115" s="594">
        <v>46206.75</v>
      </c>
      <c r="B115" s="16"/>
      <c r="C115" s="594">
        <f t="shared" ca="1" si="37"/>
        <v>46206.75</v>
      </c>
      <c r="F115" s="16">
        <v>86</v>
      </c>
      <c r="G115" s="594">
        <v>46206.75</v>
      </c>
      <c r="I115" s="16">
        <v>87</v>
      </c>
      <c r="J115" s="594">
        <v>46206.895833333336</v>
      </c>
    </row>
    <row r="116" spans="1:10">
      <c r="A116" s="594">
        <v>46206.895833333336</v>
      </c>
      <c r="B116" s="16"/>
      <c r="C116" s="594">
        <f t="shared" ca="1" si="37"/>
        <v>46206.895833333336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c r="A121" s="594">
        <v>46207.708333333336</v>
      </c>
      <c r="B121" s="16"/>
      <c r="C121" s="594">
        <f t="shared" ca="1" si="38"/>
        <v>46207.708333333336</v>
      </c>
      <c r="D121" s="622"/>
      <c r="F121" s="16">
        <v>89</v>
      </c>
      <c r="G121" s="594">
        <v>46207.708333333336</v>
      </c>
      <c r="I121" s="16">
        <v>90</v>
      </c>
      <c r="J121" s="594">
        <v>46207.541666666664</v>
      </c>
    </row>
    <row r="122" spans="1:10">
      <c r="A122" s="594">
        <v>46208.666666666664</v>
      </c>
      <c r="B122" s="16"/>
      <c r="C122" s="594">
        <f t="shared" ca="1" si="38"/>
        <v>46208.666666666664</v>
      </c>
      <c r="D122" s="622"/>
      <c r="F122" s="16">
        <v>91</v>
      </c>
      <c r="G122" s="594">
        <v>46208.666666666664</v>
      </c>
      <c r="I122" s="16">
        <v>91</v>
      </c>
      <c r="J122" s="594">
        <v>46208.666666666664</v>
      </c>
    </row>
    <row r="123" spans="1:10">
      <c r="A123" s="594">
        <v>46208.833333333336</v>
      </c>
      <c r="B123" s="16"/>
      <c r="C123" s="594">
        <f t="shared" ca="1" si="38"/>
        <v>46208.833333333336</v>
      </c>
      <c r="D123" s="622"/>
      <c r="F123" s="16">
        <v>92</v>
      </c>
      <c r="G123" s="594">
        <v>46208.833333333336</v>
      </c>
      <c r="I123" s="16">
        <v>92</v>
      </c>
      <c r="J123" s="594">
        <v>46208.833333333336</v>
      </c>
    </row>
    <row r="124" spans="1:10">
      <c r="A124" s="594">
        <v>46209.625</v>
      </c>
      <c r="B124" s="16"/>
      <c r="C124" s="594">
        <f t="shared" ca="1" si="38"/>
        <v>46209.625</v>
      </c>
      <c r="D124" s="622"/>
      <c r="F124" s="16">
        <v>93</v>
      </c>
      <c r="G124" s="594">
        <v>46209.625</v>
      </c>
      <c r="I124" s="16">
        <v>93</v>
      </c>
      <c r="J124" s="594">
        <v>46209.625</v>
      </c>
    </row>
    <row r="125" spans="1:10">
      <c r="A125" s="594">
        <v>46209.833333333336</v>
      </c>
      <c r="B125" s="16"/>
      <c r="C125" s="594">
        <f t="shared" ca="1" si="38"/>
        <v>46209.833333333336</v>
      </c>
      <c r="D125" s="622"/>
      <c r="F125" s="16">
        <v>94</v>
      </c>
      <c r="G125" s="594">
        <v>46209.833333333336</v>
      </c>
      <c r="I125" s="16">
        <v>94</v>
      </c>
      <c r="J125" s="594">
        <v>46209.833333333336</v>
      </c>
    </row>
    <row r="126" spans="1:10">
      <c r="A126" s="594">
        <v>46210.5</v>
      </c>
      <c r="B126" s="16"/>
      <c r="C126" s="594">
        <f t="shared" ca="1" si="38"/>
        <v>46210.5</v>
      </c>
      <c r="D126" s="622"/>
      <c r="F126" s="16">
        <v>95</v>
      </c>
      <c r="G126" s="594">
        <v>46210.5</v>
      </c>
      <c r="I126" s="16">
        <v>95</v>
      </c>
      <c r="J126" s="594">
        <v>46210.5</v>
      </c>
    </row>
    <row r="127" spans="1:10">
      <c r="A127" s="594">
        <v>46210.666666666664</v>
      </c>
      <c r="B127" s="16"/>
      <c r="C127" s="594">
        <f t="shared" ca="1" si="38"/>
        <v>46210.666666666664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c r="A132" s="594">
        <v>46213.625</v>
      </c>
      <c r="B132" s="16"/>
      <c r="C132" s="594">
        <f ca="1">A132+INDEX($V$3:$V$86,MATCH($C$3,$P$3:$P$86,0))*INDEX($W$3:$W$86,MATCH($C$3,$P$3:$P$86,0))</f>
        <v>46213.625</v>
      </c>
      <c r="D132" s="622"/>
      <c r="F132" s="16">
        <v>98</v>
      </c>
      <c r="G132" s="594">
        <v>46213.625</v>
      </c>
      <c r="I132" s="16">
        <v>98</v>
      </c>
      <c r="J132" s="594">
        <v>46213.625</v>
      </c>
    </row>
    <row r="133" spans="1:10">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c r="A134" s="594">
        <v>46214.875</v>
      </c>
      <c r="B134" s="16"/>
      <c r="C134" s="594">
        <f ca="1">A134+INDEX($V$3:$V$86,MATCH($C$3,$P$3:$P$86,0))*INDEX($W$3:$W$86,MATCH($C$3,$P$3:$P$86,0))</f>
        <v>46214.875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46217.625</v>
      </c>
      <c r="D138" s="622"/>
    </row>
    <row r="139" spans="1:10">
      <c r="A139" s="594">
        <v>46218.625</v>
      </c>
      <c r="B139" s="16"/>
      <c r="C139" s="594">
        <f ca="1">A139+INDEX($V$3:$V$86,MATCH($C$3,$P$3:$P$86,0))*INDEX($W$3:$W$86,MATCH($C$3,$P$3:$P$86,0))</f>
        <v>46218.625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46221.708333333336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Lidia&amp;8piMini</cp:lastModifiedBy>
  <cp:lastPrinted>2018-12-06T18:06:35Z</cp:lastPrinted>
  <dcterms:created xsi:type="dcterms:W3CDTF">2015-10-31T09:41:54Z</dcterms:created>
  <dcterms:modified xsi:type="dcterms:W3CDTF">2026-06-28T17:15:48Z</dcterms:modified>
</cp:coreProperties>
</file>