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autoCompressPictures="0" defaultThemeVersion="124226"/>
  <workbookProtection workbookAlgorithmName="SHA-512" workbookHashValue="euVKK6JtwcOAVu4oR0JOcV1GkEjxLs4TzOG8iZmiHb9wb3JVuooED0DIzwEbUFMnmXXVl4D4SFYWMZ4nz6gcww==" workbookSaltValue="ge1aTcoKNVg5XeEOejsgxw==" workbookSpinCount="100000" lockStructure="1"/>
  <bookViews>
    <workbookView xWindow="75" yWindow="525" windowWidth="28515" windowHeight="15945"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4562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38" i="32"/>
  <c r="Y38" i="3" s="1"/>
  <c r="C113" i="32"/>
  <c r="X113" i="3" s="1"/>
  <c r="C5" i="32"/>
  <c r="Y5" i="3" s="1"/>
  <c r="C101" i="32"/>
  <c r="Y101" i="3" s="1"/>
  <c r="V26" i="32"/>
  <c r="V30" i="32"/>
  <c r="AY101" i="3"/>
  <c r="AK99" i="3"/>
  <c r="C33" i="32" l="1"/>
  <c r="X33" i="3" s="1"/>
  <c r="C110" i="32"/>
  <c r="X110" i="3" s="1"/>
  <c r="C21" i="32"/>
  <c r="X21" i="3" s="1"/>
  <c r="C115" i="32"/>
  <c r="Y115" i="3" s="1"/>
  <c r="C25" i="32"/>
  <c r="X25" i="3" s="1"/>
  <c r="C28" i="32"/>
  <c r="X28" i="3" s="1"/>
  <c r="C20" i="32"/>
  <c r="Y20" i="3" s="1"/>
  <c r="C138" i="32"/>
  <c r="Y138" i="3" s="1"/>
  <c r="C60" i="32"/>
  <c r="Y60" i="3" s="1"/>
  <c r="C106" i="32"/>
  <c r="Y106" i="3" s="1"/>
  <c r="C64" i="32"/>
  <c r="Y64" i="3" s="1"/>
  <c r="C139" i="32"/>
  <c r="X139" i="3" s="1"/>
  <c r="C31" i="32"/>
  <c r="Y31" i="3" s="1"/>
  <c r="C95" i="32"/>
  <c r="X95" i="3" s="1"/>
  <c r="C7" i="32"/>
  <c r="X7" i="3" s="1"/>
  <c r="C120" i="32"/>
  <c r="X120" i="3" s="1"/>
  <c r="C93" i="32"/>
  <c r="Y93" i="3" s="1"/>
  <c r="C9" i="32"/>
  <c r="X9" i="3" s="1"/>
  <c r="C12" i="32"/>
  <c r="X12" i="3" s="1"/>
  <c r="C94" i="32"/>
  <c r="X94" i="3" s="1"/>
  <c r="C17" i="32"/>
  <c r="X17" i="3" s="1"/>
  <c r="C81" i="32"/>
  <c r="X81" i="3" s="1"/>
  <c r="C134" i="32"/>
  <c r="Y134" i="3" s="1"/>
  <c r="C84" i="32"/>
  <c r="X84" i="3" s="1"/>
  <c r="C69" i="32"/>
  <c r="Y69" i="3" s="1"/>
  <c r="C55" i="32"/>
  <c r="Y55" i="3" s="1"/>
  <c r="C13" i="32"/>
  <c r="Y13" i="3" s="1"/>
  <c r="C16" i="32"/>
  <c r="X16" i="3" s="1"/>
  <c r="C92" i="32"/>
  <c r="X92" i="3" s="1"/>
  <c r="C45" i="32"/>
  <c r="X45" i="3" s="1"/>
  <c r="C103" i="32"/>
  <c r="X103" i="3" s="1"/>
  <c r="C79" i="32"/>
  <c r="Y79" i="3" s="1"/>
  <c r="C65" i="32"/>
  <c r="Y65" i="3" s="1"/>
  <c r="C61" i="32"/>
  <c r="X61" i="3" s="1"/>
  <c r="C108" i="32"/>
  <c r="Y108" i="3" s="1"/>
  <c r="C53" i="32"/>
  <c r="Y53" i="3" s="1"/>
  <c r="C41" i="32"/>
  <c r="X41" i="3" s="1"/>
  <c r="C88" i="32"/>
  <c r="X88" i="3" s="1"/>
  <c r="C54" i="32"/>
  <c r="Y54" i="3" s="1"/>
  <c r="C85" i="32"/>
  <c r="X85" i="3" s="1"/>
  <c r="C62" i="32"/>
  <c r="Y62" i="3" s="1"/>
  <c r="C23" i="32"/>
  <c r="X23" i="3" s="1"/>
  <c r="C78" i="32"/>
  <c r="Y78" i="3" s="1"/>
  <c r="C86" i="32"/>
  <c r="X86" i="3" s="1"/>
  <c r="C14" i="32"/>
  <c r="X14" i="3" s="1"/>
  <c r="C6" i="32"/>
  <c r="X6" i="3" s="1"/>
  <c r="C29" i="32"/>
  <c r="Y29" i="3" s="1"/>
  <c r="C105" i="32"/>
  <c r="X105" i="3" s="1"/>
  <c r="C49" i="32"/>
  <c r="X49" i="3" s="1"/>
  <c r="C56" i="32"/>
  <c r="X56" i="3" s="1"/>
  <c r="C116" i="32"/>
  <c r="X116" i="3" s="1"/>
  <c r="C125" i="32"/>
  <c r="Y125" i="3" s="1"/>
  <c r="C143" i="32"/>
  <c r="X14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Y14" i="3"/>
  <c r="X115" i="3"/>
  <c r="Y116" i="3"/>
  <c r="Y61" i="3"/>
  <c r="X38" i="3"/>
  <c r="X65" i="3"/>
  <c r="Y25" i="3"/>
  <c r="Y17" i="3"/>
  <c r="X123" i="3"/>
  <c r="Y7" i="3"/>
  <c r="Y133" i="3"/>
  <c r="Y113" i="3"/>
  <c r="Y56" i="3"/>
  <c r="Y9" i="3"/>
  <c r="X62" i="3"/>
  <c r="X106" i="3"/>
  <c r="Y21" i="3"/>
  <c r="Y103" i="3"/>
  <c r="X101" i="3"/>
  <c r="Y28" i="3"/>
  <c r="Y110" i="3"/>
  <c r="X55" i="3"/>
  <c r="Y4" i="3"/>
  <c r="Y45" i="3"/>
  <c r="Y92" i="3"/>
  <c r="X13" i="3"/>
  <c r="Y6" i="3"/>
  <c r="X68" i="3"/>
  <c r="X64" i="3"/>
  <c r="X5" i="3"/>
  <c r="X20" i="3"/>
  <c r="Y23" i="3"/>
  <c r="Y41" i="3"/>
  <c r="X134" i="3"/>
  <c r="Y12" i="3"/>
  <c r="Y88" i="3"/>
  <c r="X93" i="3"/>
  <c r="X60" i="3"/>
  <c r="Y33" i="3"/>
  <c r="X69" i="3"/>
  <c r="X48" i="3" l="1"/>
  <c r="X138" i="3"/>
  <c r="X125" i="3"/>
  <c r="Y84" i="3"/>
  <c r="Y16" i="3"/>
  <c r="X63" i="3"/>
  <c r="Y85" i="3"/>
  <c r="Y86" i="3"/>
  <c r="Y104" i="3"/>
  <c r="Y114" i="3"/>
  <c r="Y94" i="3"/>
  <c r="Y139" i="3"/>
  <c r="Y120" i="3"/>
  <c r="X79" i="3"/>
  <c r="X24" i="3"/>
  <c r="X53" i="3"/>
  <c r="Y76" i="3"/>
  <c r="X108" i="3"/>
  <c r="X54" i="3"/>
  <c r="X44" i="3"/>
  <c r="X78" i="3"/>
  <c r="X122" i="3"/>
  <c r="Y127" i="3"/>
  <c r="X89" i="3"/>
  <c r="Y22" i="3"/>
  <c r="X57" i="3"/>
  <c r="X47" i="3"/>
  <c r="Y121" i="3"/>
  <c r="X131" i="3"/>
  <c r="Y143"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E97" i="3"/>
  <c r="BV52" i="3" s="1"/>
  <c r="F81" i="3"/>
  <c r="E76" i="3"/>
  <c r="BW43" i="3" s="1"/>
  <c r="E78" i="3"/>
  <c r="BW44" i="3" s="1"/>
  <c r="E48" i="3"/>
  <c r="F44" i="3"/>
  <c r="F47" i="3"/>
  <c r="E38" i="3"/>
  <c r="BW24" i="3" s="1"/>
  <c r="BW22" i="3"/>
  <c r="F41" i="3"/>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BW40" i="3" s="1"/>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BU43" i="3" s="1"/>
  <c r="F77" i="3"/>
  <c r="BU44" i="3" s="1"/>
  <c r="F61" i="3"/>
  <c r="E65" i="3"/>
  <c r="E63" i="3"/>
  <c r="E9" i="3"/>
  <c r="F4" i="3"/>
  <c r="F6" i="3"/>
  <c r="F79" i="3"/>
  <c r="E80" i="3"/>
  <c r="F76" i="3"/>
  <c r="BW42" i="3" s="1"/>
  <c r="F80" i="3"/>
  <c r="E77" i="3"/>
  <c r="F78" i="3"/>
  <c r="BW36" i="3"/>
  <c r="E61" i="3"/>
  <c r="BW37" i="3" s="1"/>
  <c r="F62" i="3"/>
  <c r="BU36" i="3"/>
  <c r="F64" i="3"/>
  <c r="BU35" i="3" s="1"/>
  <c r="F72" i="3"/>
  <c r="E68" i="3"/>
  <c r="BW39" i="3" s="1"/>
  <c r="BW38" i="3"/>
  <c r="BU38" i="3"/>
  <c r="E70" i="3"/>
  <c r="BU41" i="3" l="1"/>
  <c r="BW53" i="3"/>
  <c r="BU42" i="3"/>
  <c r="BW41" i="3"/>
  <c r="BW35" i="3"/>
  <c r="BU34" i="3"/>
  <c r="BU37" i="3"/>
  <c r="BU25"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20" i="3"/>
  <c r="H6" i="3" l="1"/>
  <c r="H21" i="3"/>
  <c r="H78" i="3"/>
  <c r="I20" i="3"/>
  <c r="H8" i="3"/>
  <c r="I23" i="3"/>
  <c r="H2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14" i="3" l="1"/>
  <c r="CB14" i="3"/>
  <c r="CA6" i="3"/>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6"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87" i="3"/>
  <c r="K24" i="3"/>
  <c r="L13" i="3" l="1"/>
  <c r="K12" i="3"/>
  <c r="K14"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5"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O94" i="3"/>
  <c r="N56" i="3"/>
  <c r="CI36" i="3"/>
  <c r="N61" i="3"/>
  <c r="O64" i="3"/>
  <c r="N96" i="3"/>
  <c r="O97" i="3"/>
  <c r="O93" i="3"/>
  <c r="O44" i="3"/>
  <c r="N95" i="3"/>
  <c r="O47" i="3"/>
  <c r="O95" i="3" l="1"/>
  <c r="CI42" i="3"/>
  <c r="CI27"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N8" i="3"/>
  <c r="CK22" i="3"/>
  <c r="O52" i="3"/>
  <c r="CI30" i="3" s="1"/>
  <c r="N97" i="3"/>
  <c r="O77" i="3"/>
  <c r="CI44" i="3" s="1"/>
  <c r="N80" i="3"/>
  <c r="N55" i="3"/>
  <c r="CI31" i="3" s="1"/>
  <c r="N81" i="3"/>
  <c r="N84" i="3"/>
  <c r="CI45" i="3"/>
  <c r="O5" i="3"/>
  <c r="N47" i="3"/>
  <c r="CK46" i="3"/>
  <c r="CI33" i="3"/>
  <c r="O53" i="3"/>
  <c r="CI32" i="3" s="1"/>
  <c r="O79" i="3"/>
  <c r="N6" i="3"/>
  <c r="N86" i="3"/>
  <c r="O32" i="3"/>
  <c r="CI21" i="3" s="1"/>
  <c r="CI12" i="3"/>
  <c r="CI43" i="3"/>
  <c r="N88" i="3"/>
  <c r="N30" i="3"/>
  <c r="CK20" i="3" s="1"/>
  <c r="CI25" i="3"/>
  <c r="CK6" i="3"/>
  <c r="CK18" i="3"/>
  <c r="CI18" i="3"/>
  <c r="CK25" i="3"/>
  <c r="N73" i="3"/>
  <c r="N15" i="3"/>
  <c r="CI11" i="3"/>
  <c r="O96" i="3"/>
  <c r="CJ53" i="3" s="1"/>
  <c r="CL53" i="3" s="1"/>
  <c r="CK34" i="3"/>
  <c r="CK8" i="3"/>
  <c r="CK30" i="3"/>
  <c r="N68" i="3"/>
  <c r="CK39" i="3" s="1"/>
  <c r="CK50" i="3"/>
  <c r="O40" i="3"/>
  <c r="O15" i="3"/>
  <c r="CI10" i="3" s="1"/>
  <c r="N65" i="3"/>
  <c r="O9" i="3"/>
  <c r="CI7" i="3" s="1"/>
  <c r="CI23" i="3"/>
  <c r="O36" i="3"/>
  <c r="CJ22" i="3" s="1"/>
  <c r="CK23" i="3"/>
  <c r="O61" i="3"/>
  <c r="CK37" i="3"/>
  <c r="N13" i="3"/>
  <c r="O68" i="3"/>
  <c r="CI38" i="3" s="1"/>
  <c r="O57" i="3"/>
  <c r="O65" i="3"/>
  <c r="N40" i="3"/>
  <c r="O31" i="3"/>
  <c r="CJ21" i="3" s="1"/>
  <c r="N92" i="3"/>
  <c r="CK51" i="3" s="1"/>
  <c r="CK12" i="3"/>
  <c r="N77" i="3"/>
  <c r="CK45" i="3" s="1"/>
  <c r="CI19" i="3"/>
  <c r="CI50" i="3"/>
  <c r="O25" i="3"/>
  <c r="O37" i="3"/>
  <c r="CI24" i="3" s="1"/>
  <c r="N5" i="3"/>
  <c r="CJ9" i="3" s="1"/>
  <c r="O72" i="3"/>
  <c r="CK41" i="3" s="1"/>
  <c r="O84" i="3"/>
  <c r="CI46" i="3" s="1"/>
  <c r="O87" i="3"/>
  <c r="N60" i="3"/>
  <c r="CK35" i="3" s="1"/>
  <c r="O78" i="3"/>
  <c r="O23" i="3"/>
  <c r="N94" i="3"/>
  <c r="CK52" i="3" s="1"/>
  <c r="N39" i="3"/>
  <c r="CK38" i="3"/>
  <c r="CI52" i="3"/>
  <c r="N4" i="3"/>
  <c r="CK19" i="3"/>
  <c r="N87" i="3"/>
  <c r="N25" i="3"/>
  <c r="CK16" i="3" s="1"/>
  <c r="O22" i="3"/>
  <c r="N76" i="3"/>
  <c r="CJ43" i="3" s="1"/>
  <c r="O49" i="3"/>
  <c r="CI29" i="3" s="1"/>
  <c r="N46" i="3"/>
  <c r="CJ28" i="3" s="1"/>
  <c r="N53" i="3"/>
  <c r="CK28" i="3"/>
  <c r="CK48" i="3"/>
  <c r="N85" i="3"/>
  <c r="CI49" i="3" s="1"/>
  <c r="N44" i="3"/>
  <c r="CK27" i="3" s="1"/>
  <c r="N12" i="3"/>
  <c r="O54" i="3"/>
  <c r="O89" i="3"/>
  <c r="O56" i="3"/>
  <c r="N24" i="3"/>
  <c r="O46" i="3"/>
  <c r="CI28" i="3"/>
  <c r="O21" i="3"/>
  <c r="CI16" i="3" s="1"/>
  <c r="N45" i="3"/>
  <c r="CK29" i="3" s="1"/>
  <c r="CK32" i="3"/>
  <c r="N16" i="3"/>
  <c r="CI48" i="3"/>
  <c r="CK26" i="3"/>
  <c r="CJ48" i="3"/>
  <c r="O20" i="3"/>
  <c r="N33" i="3"/>
  <c r="CK10" i="3"/>
  <c r="N69" i="3"/>
  <c r="O73" i="3"/>
  <c r="CI39" i="3" s="1"/>
  <c r="O60" i="3"/>
  <c r="CI34" i="3" s="1"/>
  <c r="O63" i="3"/>
  <c r="CI37" i="3" s="1"/>
  <c r="CI40" i="3"/>
  <c r="O70" i="3"/>
  <c r="CK17" i="3"/>
  <c r="N22" i="3"/>
  <c r="CK42" i="3"/>
  <c r="N78" i="3"/>
  <c r="CK44" i="3" s="1"/>
  <c r="O81" i="3"/>
  <c r="N14" i="3"/>
  <c r="CK11" i="3" s="1"/>
  <c r="CK13" i="3"/>
  <c r="N23" i="3"/>
  <c r="N20" i="3"/>
  <c r="O24" i="3"/>
  <c r="N17" i="3"/>
  <c r="O14" i="3"/>
  <c r="CK33" i="3"/>
  <c r="CK53" i="3"/>
  <c r="CK14" i="3"/>
  <c r="CK49" i="3"/>
  <c r="CK31" i="3"/>
  <c r="CK47" i="3" l="1"/>
  <c r="CI47" i="3"/>
  <c r="CI15" i="3"/>
  <c r="CK43" i="3"/>
  <c r="CI41" i="3"/>
  <c r="CJ36" i="3"/>
  <c r="CL36" i="3" s="1"/>
  <c r="CK36" i="3"/>
  <c r="CI8" i="3"/>
  <c r="CI22" i="3"/>
  <c r="CI13" i="3"/>
  <c r="CK7" i="3"/>
  <c r="CI14" i="3"/>
  <c r="CI6" i="3"/>
  <c r="CL50" i="3"/>
  <c r="CL22" i="3"/>
  <c r="CJ30" i="3"/>
  <c r="CL30" i="3" s="1"/>
  <c r="CJ32" i="3"/>
  <c r="CL32" i="3" s="1"/>
  <c r="CJ52" i="3"/>
  <c r="CL52" i="3" s="1"/>
  <c r="CJ40" i="3"/>
  <c r="CL40" i="3" s="1"/>
  <c r="CL9" i="3"/>
  <c r="CJ26" i="3"/>
  <c r="CL26" i="3" s="1"/>
  <c r="CJ51" i="3"/>
  <c r="CL51" i="3" s="1"/>
  <c r="CJ45" i="3"/>
  <c r="CL45" i="3" s="1"/>
  <c r="CJ42" i="3"/>
  <c r="CL42" i="3" s="1"/>
  <c r="CL48" i="3"/>
  <c r="CJ47" i="3"/>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15" i="3"/>
  <c r="CL47" i="3"/>
  <c r="CM47" i="3" s="1"/>
  <c r="CL13" i="3"/>
  <c r="CM10" i="3" s="1"/>
  <c r="CL14" i="3"/>
  <c r="CM45" i="3"/>
  <c r="CM50" i="3"/>
  <c r="CM46" i="3"/>
  <c r="CM53" i="3"/>
  <c r="CM48" i="3"/>
  <c r="CM16" i="3"/>
  <c r="CM40" i="3"/>
  <c r="CM30" i="3"/>
  <c r="CM17" i="3"/>
  <c r="CM34" i="3"/>
  <c r="CM31" i="3"/>
  <c r="CM33" i="3"/>
  <c r="CM22" i="3"/>
  <c r="CM21" i="3"/>
  <c r="CM35" i="3"/>
  <c r="CM18" i="3"/>
  <c r="CM20" i="3"/>
  <c r="CM26" i="3"/>
  <c r="CM38" i="3"/>
  <c r="CM42" i="3"/>
  <c r="CM19" i="3"/>
  <c r="CM28" i="3"/>
  <c r="CM24" i="3"/>
  <c r="CM11" i="3"/>
  <c r="CM12" i="3"/>
  <c r="CM32" i="3"/>
  <c r="CM9" i="3"/>
  <c r="CM7" i="3"/>
  <c r="CM29" i="3"/>
  <c r="CM39" i="3"/>
  <c r="CM51" i="3"/>
  <c r="CM36" i="3"/>
  <c r="CM27" i="3"/>
  <c r="CM25" i="3"/>
  <c r="CM23" i="3"/>
  <c r="CM37" i="3"/>
  <c r="CM41" i="3" l="1"/>
  <c r="CM49" i="3"/>
  <c r="CM43" i="3"/>
  <c r="CM52" i="3"/>
  <c r="CM44" i="3"/>
  <c r="CM6" i="3"/>
  <c r="CM8" i="3"/>
  <c r="CM13" i="3"/>
  <c r="CM14" i="3"/>
  <c r="CM15" i="3"/>
  <c r="CN26" i="3" l="1"/>
  <c r="Q44" i="3" s="1"/>
  <c r="CN15" i="3"/>
  <c r="Q25" i="3" s="1"/>
  <c r="CN33" i="3"/>
  <c r="Q57" i="3" s="1"/>
  <c r="CN27" i="3"/>
  <c r="R47" i="3" s="1"/>
  <c r="CN29" i="3"/>
  <c r="Q47" i="3" s="1"/>
  <c r="CN45" i="3"/>
  <c r="Q79" i="3" s="1"/>
  <c r="CN6" i="3"/>
  <c r="Q7" i="3" s="1"/>
  <c r="CN30" i="3"/>
  <c r="R57" i="3" s="1"/>
  <c r="CN35" i="3"/>
  <c r="R63" i="3" s="1"/>
  <c r="CN40" i="3"/>
  <c r="R73" i="3" s="1"/>
  <c r="CN34" i="3"/>
  <c r="R65" i="3" s="1"/>
  <c r="CN31" i="3"/>
  <c r="R52" i="3" s="1"/>
  <c r="CN9" i="3"/>
  <c r="Q6" i="3" s="1"/>
  <c r="CN39" i="3"/>
  <c r="R71" i="3" s="1"/>
  <c r="CN20" i="3"/>
  <c r="R33" i="3" s="1"/>
  <c r="CN16" i="3"/>
  <c r="R25" i="3" s="1"/>
  <c r="CN53" i="3"/>
  <c r="Q95" i="3" s="1"/>
  <c r="CN42" i="3"/>
  <c r="Q76" i="3" s="1"/>
  <c r="CN8" i="3"/>
  <c r="Q5" i="3" s="1"/>
  <c r="CN17" i="3"/>
  <c r="Q24" i="3" s="1"/>
  <c r="CN12" i="3"/>
  <c r="R15" i="3" s="1"/>
  <c r="CN10" i="3"/>
  <c r="Q15" i="3" s="1"/>
  <c r="CN41" i="3"/>
  <c r="Q71" i="3" s="1"/>
  <c r="CN44" i="3"/>
  <c r="CN22" i="3"/>
  <c r="Q36" i="3" s="1"/>
  <c r="CN24" i="3"/>
  <c r="Q37" i="3" s="1"/>
  <c r="CN49" i="3"/>
  <c r="Q87" i="3" s="1"/>
  <c r="CN28" i="3"/>
  <c r="R46" i="3" s="1"/>
  <c r="CN52" i="3"/>
  <c r="R97" i="3" s="1"/>
  <c r="CN23" i="3"/>
  <c r="R36" i="3" s="1"/>
  <c r="CN46" i="3"/>
  <c r="Q84" i="3" s="1"/>
  <c r="CN18" i="3"/>
  <c r="Q28" i="3" s="1"/>
  <c r="CN36" i="3"/>
  <c r="R64" i="3" s="1"/>
  <c r="CN19" i="3"/>
  <c r="Q33" i="3" s="1"/>
  <c r="CN50" i="3"/>
  <c r="Q94" i="3" s="1"/>
  <c r="CN51" i="3"/>
  <c r="R92" i="3" s="1"/>
  <c r="CN25" i="3"/>
  <c r="CN37" i="3"/>
  <c r="R61" i="3" s="1"/>
  <c r="CN21" i="3"/>
  <c r="Q31" i="3" s="1"/>
  <c r="CO19" i="3" s="1"/>
  <c r="CN13" i="3"/>
  <c r="R13" i="3" s="1"/>
  <c r="CN32" i="3"/>
  <c r="Q53" i="3" s="1"/>
  <c r="CN14" i="3"/>
  <c r="Q20" i="3" s="1"/>
  <c r="CN38" i="3"/>
  <c r="Q70" i="3" s="1"/>
  <c r="CN11" i="3"/>
  <c r="R14" i="3" s="1"/>
  <c r="CN7" i="3"/>
  <c r="Q9" i="3" s="1"/>
  <c r="CN47" i="3"/>
  <c r="Q89" i="3" s="1"/>
  <c r="CN48" i="3"/>
  <c r="Q85" i="3" s="1"/>
  <c r="CN43" i="3"/>
  <c r="R76" i="3" s="1"/>
  <c r="R80" i="3"/>
  <c r="R40" i="3"/>
  <c r="Q60" i="3"/>
  <c r="R38" i="3"/>
  <c r="CP22" i="3" s="1"/>
  <c r="Q61" i="3"/>
  <c r="CP37" i="3" s="1"/>
  <c r="Q30" i="3"/>
  <c r="CP20" i="3" s="1"/>
  <c r="R28" i="3"/>
  <c r="R81" i="3"/>
  <c r="Q69" i="3"/>
  <c r="R70" i="3"/>
  <c r="Q96" i="3"/>
  <c r="Q72" i="3"/>
  <c r="R44" i="3"/>
  <c r="R49" i="3"/>
  <c r="Q46" i="3"/>
  <c r="R32" i="3"/>
  <c r="R24" i="3"/>
  <c r="Q78" i="3"/>
  <c r="R31" i="3"/>
  <c r="Q23" i="3"/>
  <c r="Q16" i="3"/>
  <c r="Q12" i="3"/>
  <c r="R16" i="3"/>
  <c r="Q63" i="3"/>
  <c r="CO35" i="3" s="1"/>
  <c r="Q21" i="3"/>
  <c r="Q38" i="3"/>
  <c r="R23" i="3"/>
  <c r="Q14" i="3"/>
  <c r="R55" i="3"/>
  <c r="R41" i="3"/>
  <c r="R93" i="3"/>
  <c r="R95" i="3"/>
  <c r="Q22" i="3"/>
  <c r="CO15" i="3" s="1"/>
  <c r="Q56" i="3"/>
  <c r="R77" i="3"/>
  <c r="R21" i="3"/>
  <c r="Q45" i="3"/>
  <c r="R39" i="3"/>
  <c r="Q73" i="3"/>
  <c r="Q97" i="3"/>
  <c r="Q8" i="3"/>
  <c r="R5" i="3"/>
  <c r="Q40" i="3"/>
  <c r="CP12" i="3"/>
  <c r="R48" i="3"/>
  <c r="CO27" i="3" s="1"/>
  <c r="Q13" i="3"/>
  <c r="CO23" i="3"/>
  <c r="Q65" i="3"/>
  <c r="R17" i="3"/>
  <c r="R30" i="3"/>
  <c r="CO18" i="3" s="1"/>
  <c r="R22" i="3"/>
  <c r="Q52" i="3"/>
  <c r="R20" i="3"/>
  <c r="Q54" i="3"/>
  <c r="Q81" i="3"/>
  <c r="CP42" i="3" s="1"/>
  <c r="R45" i="3"/>
  <c r="Q49" i="3"/>
  <c r="CO26" i="3" s="1"/>
  <c r="Q48" i="3"/>
  <c r="Q64" i="3"/>
  <c r="R68" i="3"/>
  <c r="R8" i="3"/>
  <c r="R60" i="3"/>
  <c r="CP30" i="3"/>
  <c r="CP53" i="3"/>
  <c r="CP45" i="3"/>
  <c r="CO22" i="3"/>
  <c r="CO30" i="3"/>
  <c r="CO12" i="3"/>
  <c r="CP23" i="3"/>
  <c r="R88" i="3" l="1"/>
  <c r="Q92" i="3"/>
  <c r="CP33" i="3"/>
  <c r="Q55" i="3"/>
  <c r="R53" i="3"/>
  <c r="Q62" i="3"/>
  <c r="Q4" i="3"/>
  <c r="Q29" i="3"/>
  <c r="Q80" i="3"/>
  <c r="CP44" i="3" s="1"/>
  <c r="R85" i="3"/>
  <c r="R69" i="3"/>
  <c r="Q86" i="3"/>
  <c r="R72" i="3"/>
  <c r="CP41" i="3" s="1"/>
  <c r="R7" i="3"/>
  <c r="R96" i="3"/>
  <c r="R9" i="3"/>
  <c r="Q88" i="3"/>
  <c r="Q68" i="3"/>
  <c r="CP39" i="3" s="1"/>
  <c r="R94" i="3"/>
  <c r="CP50" i="3" s="1"/>
  <c r="CP36" i="3"/>
  <c r="CO8" i="3"/>
  <c r="Q93" i="3"/>
  <c r="R54" i="3"/>
  <c r="R62" i="3"/>
  <c r="R4" i="3"/>
  <c r="CO6" i="3" s="1"/>
  <c r="CP51" i="3"/>
  <c r="R56" i="3"/>
  <c r="R84" i="3"/>
  <c r="Q77" i="3"/>
  <c r="R78" i="3"/>
  <c r="R79" i="3"/>
  <c r="CO45" i="3" s="1"/>
  <c r="R89" i="3"/>
  <c r="Q39" i="3"/>
  <c r="R37" i="3"/>
  <c r="Q41" i="3"/>
  <c r="Q32" i="3"/>
  <c r="R29" i="3"/>
  <c r="R86" i="3"/>
  <c r="R87" i="3"/>
  <c r="CO49" i="3" s="1"/>
  <c r="CP43" i="3"/>
  <c r="R12" i="3"/>
  <c r="CO10" i="3" s="1"/>
  <c r="Q17" i="3"/>
  <c r="R6" i="3"/>
  <c r="CO9" i="3" s="1"/>
  <c r="CO53" i="3"/>
  <c r="CO43" i="3"/>
  <c r="CP49" i="3"/>
  <c r="CP35" i="3"/>
  <c r="CQ35" i="3" s="1"/>
  <c r="CP34" i="3"/>
  <c r="CP48" i="3"/>
  <c r="CO24" i="3"/>
  <c r="CO37" i="3"/>
  <c r="CQ37" i="3" s="1"/>
  <c r="CP38" i="3"/>
  <c r="CP14" i="3"/>
  <c r="CP46" i="3"/>
  <c r="CO34" i="3"/>
  <c r="CO50" i="3"/>
  <c r="CQ50" i="3" s="1"/>
  <c r="CQ22" i="3"/>
  <c r="CP40" i="3"/>
  <c r="CO46" i="3"/>
  <c r="CP24" i="3"/>
  <c r="CO21" i="3"/>
  <c r="CO40" i="3"/>
  <c r="CO48" i="3"/>
  <c r="CO11" i="3"/>
  <c r="CO38" i="3"/>
  <c r="CP31" i="3"/>
  <c r="CP32" i="3"/>
  <c r="CP16" i="3"/>
  <c r="CO42" i="3"/>
  <c r="CQ42" i="3" s="1"/>
  <c r="CO31" i="3"/>
  <c r="CQ30" i="3"/>
  <c r="CO32" i="3"/>
  <c r="CP28" i="3"/>
  <c r="CP17" i="3"/>
  <c r="CO28" i="3"/>
  <c r="CP26" i="3"/>
  <c r="CQ26" i="3" s="1"/>
  <c r="CP15" i="3"/>
  <c r="CQ15" i="3" s="1"/>
  <c r="CP13" i="3"/>
  <c r="CO17" i="3"/>
  <c r="CP21" i="3"/>
  <c r="CP18" i="3"/>
  <c r="CQ18" i="3" s="1"/>
  <c r="CO16" i="3"/>
  <c r="CO20" i="3"/>
  <c r="CQ20" i="3" s="1"/>
  <c r="CP19" i="3"/>
  <c r="CQ19" i="3" s="1"/>
  <c r="CO14" i="3"/>
  <c r="CP11" i="3"/>
  <c r="CQ12" i="3"/>
  <c r="CO13" i="3"/>
  <c r="CO7" i="3"/>
  <c r="CP8" i="3"/>
  <c r="CP7" i="3"/>
  <c r="CP52" i="3"/>
  <c r="CP27" i="3"/>
  <c r="CQ27" i="3" s="1"/>
  <c r="CO52" i="3"/>
  <c r="CO41" i="3"/>
  <c r="CO29" i="3"/>
  <c r="CQ23" i="3"/>
  <c r="CP29" i="3"/>
  <c r="CO51" i="3"/>
  <c r="CO33" i="3"/>
  <c r="CQ33" i="3" s="1"/>
  <c r="CO39" i="3"/>
  <c r="CQ39" i="3" s="1"/>
  <c r="CO25" i="3"/>
  <c r="CP25" i="3"/>
  <c r="CO36" i="3"/>
  <c r="CQ36" i="3" s="1"/>
  <c r="CQ45" i="3"/>
  <c r="CQ53" i="3"/>
  <c r="CQ8" i="3" l="1"/>
  <c r="CO44" i="3"/>
  <c r="CP6" i="3"/>
  <c r="CQ6" i="3" s="1"/>
  <c r="CQ51" i="3"/>
  <c r="CP10" i="3"/>
  <c r="CQ10" i="3" s="1"/>
  <c r="CP9" i="3"/>
  <c r="CQ9" i="3" s="1"/>
  <c r="CQ43" i="3"/>
  <c r="CP47" i="3"/>
  <c r="CO47" i="3"/>
  <c r="CQ44" i="3"/>
  <c r="CQ49" i="3"/>
  <c r="CQ24" i="3"/>
  <c r="CQ48" i="3"/>
  <c r="CQ34" i="3"/>
  <c r="CQ14" i="3"/>
  <c r="CQ21" i="3"/>
  <c r="CQ46" i="3"/>
  <c r="CQ16" i="3"/>
  <c r="CQ40" i="3"/>
  <c r="CQ38" i="3"/>
  <c r="CQ11" i="3"/>
  <c r="CQ31" i="3"/>
  <c r="CQ32" i="3"/>
  <c r="CQ28" i="3"/>
  <c r="CQ13" i="3"/>
  <c r="CQ17" i="3"/>
  <c r="CQ7" i="3"/>
  <c r="CQ41" i="3"/>
  <c r="CQ52" i="3"/>
  <c r="CQ29" i="3"/>
  <c r="CQ25" i="3"/>
  <c r="CQ47" i="3" l="1"/>
  <c r="CR47" i="3" s="1"/>
  <c r="CR50" i="3"/>
  <c r="CR53"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U57"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4" i="3" l="1"/>
  <c r="T52" i="3"/>
  <c r="U37" i="3"/>
  <c r="CT24" i="3" s="1"/>
  <c r="T41"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CT49" i="3" s="1"/>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l="1"/>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4" i="3" l="1"/>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<sst xmlns="http://schemas.openxmlformats.org/spreadsheetml/2006/main" count="6764" uniqueCount="1523">
  <si>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</si>
  <si>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</si>
  <si>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</si>
  <si>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</si>
  <si>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</si>
  <si>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</si>
  <si>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</si>
  <si>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</si>
  <si>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</si>
  <si>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</si>
  <si>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</si>
  <si>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</si>
  <si>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</si>
  <si>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</si>
  <si>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</si>
  <si>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</si>
  <si>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</si>
  <si>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</si>
  <si>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</si>
  <si>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</si>
  <si>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</si>
  <si>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</si>
  <si>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</si>
  <si>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</si>
  <si>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</si>
  <si>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</si>
  <si>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</si>
  <si>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</si>
  <si>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</si>
  <si>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</si>
  <si>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</si>
  <si>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</si>
  <si>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</si>
  <si>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</si>
  <si>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</si>
  <si>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</si>
  <si>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</si>
  <si>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</si>
  <si>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</si>
  <si>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</si>
  <si>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</si>
  <si>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</si>
  <si>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</si>
  <si>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</si>
  <si>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</si>
  <si>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</si>
  <si>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</si>
  <si>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</si>
  <si>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</si>
  <si>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</si>
  <si>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</si>
  <si>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</si>
  <si>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</si>
  <si>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</si>
  <si>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</si>
  <si>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</si>
  <si>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</si>
  <si>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</si>
  <si>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</si>
  <si>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</si>
  <si>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</si>
  <si>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</si>
  <si>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</si>
  <si>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</si>
  <si>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</si>
  <si>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</si>
  <si>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</si>
  <si>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</si>
  <si>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</si>
  <si>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</si>
  <si>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</si>
  <si>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</si>
  <si>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</si>
  <si>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</si>
  <si>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</si>
  <si>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</si>
  <si>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</si>
  <si>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</si>
  <si>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</si>
  <si>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</si>
  <si>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</si>
  <si>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</si>
  <si>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</si>
  <si>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</si>
  <si>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</si>
  <si>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</si>
  <si>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</si>
  <si>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</si>
  <si>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</si>
  <si>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</si>
  <si>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</si>
  <si>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</si>
  <si>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</si>
  <si>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</si>
  <si>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</si>
  <si>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</si>
  <si>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</si>
  <si>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</si>
  <si>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</si>
  <si>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</si>
  <si>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</si>
  <si>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</si>
  <si>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</si>
  <si>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</si>
  <si>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</si>
  <si>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</si>
  <si>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</si>
  <si>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</si>
  <si>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</si>
  <si>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</si>
  <si>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</si>
  <si>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</si>
  <si>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</si>
  <si>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</si>
  <si>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</si>
  <si>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</si>
  <si>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</si>
  <si>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</si>
  <si>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</si>
  <si>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</si>
  <si>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</si>
  <si>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</si>
  <si>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</si>
  <si>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</si>
  <si>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</si>
  <si>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</si>
  <si>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</si>
  <si>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</si>
  <si>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</si>
  <si>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</si>
  <si>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</si>
  <si>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</si>
  <si>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</si>
  <si>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</si>
  <si>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</si>
  <si>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</si>
  <si>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</si>
  <si>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</si>
  <si>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</si>
  <si>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</si>
  <si>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</si>
  <si>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</si>
  <si>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</si>
  <si>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</si>
  <si>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</si>
  <si>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</si>
  <si>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</si>
  <si>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</si>
  <si>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</si>
  <si>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</si>
  <si>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</si>
  <si>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</si>
  <si>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</si>
  <si>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</si>
  <si>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</si>
  <si>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</si>
  <si>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</si>
  <si>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</si>
  <si>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</si>
  <si>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</si>
  <si>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</si>
  <si>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</si>
  <si>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</si>
  <si>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</si>
  <si>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</si>
  <si>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</si>
  <si>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</si>
  <si>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</si>
  <si>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</si>
  <si>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</si>
  <si>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</si>
  <si>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</si>
  <si>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</si>
  <si>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</si>
  <si>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</si>
  <si>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</si>
  <si>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</si>
  <si>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</si>
  <si>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</si>
  <si>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</si>
  <si>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</si>
  <si>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</si>
  <si>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</si>
  <si>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</si>
  <si>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</si>
  <si>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</si>
  <si>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</si>
  <si>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</si>
  <si>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</si>
  <si>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</si>
  <si>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</si>
  <si>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</si>
  <si>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</si>
  <si>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</si>
  <si>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</si>
  <si>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</si>
  <si>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</si>
  <si>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</si>
  <si>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</si>
  <si>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</si>
  <si>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</si>
  <si>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</si>
  <si>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</si>
  <si>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</si>
  <si>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</si>
  <si>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</si>
  <si>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</si>
  <si>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</si>
  <si>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</si>
  <si>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</si>
  <si>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</si>
  <si>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</si>
  <si>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</si>
  <si>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</si>
  <si>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</si>
  <si>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</si>
  <si>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</si>
  <si>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</si>
  <si>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</si>
  <si>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</si>
  <si>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</si>
  <si>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</si>
  <si>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</si>
  <si>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</si>
  <si>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</si>
  <si>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</si>
  <si>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</si>
  <si>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</si>
  <si>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</si>
  <si>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</si>
  <si>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</si>
  <si>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</si>
  <si>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</si>
  <si>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</si>
  <si>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</si>
  <si>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</si>
  <si>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</si>
  <si>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</si>
  <si>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</si>
  <si>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</si>
  <si>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</si>
  <si>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</si>
  <si>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</si>
  <si>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</si>
  <si>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</si>
  <si>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</si>
  <si>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</si>
  <si>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</si>
  <si>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</si>
  <si>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</si>
  <si>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</si>
  <si>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</si>
  <si>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</si>
  <si>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</si>
  <si>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</si>
  <si>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</si>
  <si>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</si>
  <si>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</si>
  <si>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</si>
  <si>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</si>
  <si>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</si>
  <si>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</si>
  <si>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</si>
  <si>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</si>
  <si>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</si>
  <si>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</si>
  <si>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</si>
  <si>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</si>
  <si>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</si>
  <si>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</si>
  <si>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</si>
  <si>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</si>
  <si>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</si>
  <si>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</si>
  <si>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</si>
  <si>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</si>
  <si>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</si>
  <si>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</si>
  <si>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</si>
  <si>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</si>
  <si>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</si>
  <si>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</si>
  <si>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</si>
  <si>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</si>
  <si>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</si>
  <si>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</si>
  <si>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</si>
  <si>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</si>
  <si>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</si>
  <si>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</si>
  <si>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</si>
  <si>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</si>
  <si>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</si>
  <si>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</si>
  <si>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</si>
  <si>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</si>
  <si>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</si>
  <si>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</si>
  <si>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</si>
  <si>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</si>
  <si>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</si>
  <si>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</si>
  <si>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</si>
  <si>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</si>
  <si>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</si>
  <si>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</si>
  <si>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</si>
  <si>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</si>
  <si>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</si>
  <si>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</si>
  <si>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</si>
  <si>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</si>
  <si>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</si>
  <si>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</si>
  <si>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</si>
  <si>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</si>
  <si>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</si>
  <si>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</si>
  <si>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</si>
  <si>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</si>
  <si>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</si>
  <si>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</si>
  <si>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</si>
  <si>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</si>
  <si>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</si>
  <si>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</si>
  <si>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</si>
  <si>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</si>
  <si>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</si>
  <si>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</si>
  <si>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</si>
  <si>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</si>
  <si>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</si>
  <si>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</si>
  <si>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</si>
  <si>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</si>
  <si>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</si>
  <si>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</si>
  <si>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</si>
  <si>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</si>
  <si>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</si>
  <si>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</si>
  <si>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</si>
  <si>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</si>
  <si>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</si>
  <si>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</si>
  <si>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</si>
  <si>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</si>
  <si>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</si>
  <si>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</si>
  <si>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</si>
  <si>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</si>
  <si>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</si>
  <si>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</si>
  <si>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</si>
  <si>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</si>
  <si>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</si>
  <si>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</si>
  <si>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</si>
  <si>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</si>
  <si>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</si>
  <si>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</si>
  <si>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</si>
  <si>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</si>
  <si>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</si>
  <si>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</si>
  <si>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</si>
  <si>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</si>
  <si>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</si>
  <si>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</si>
  <si>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</si>
  <si>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</si>
  <si>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</si>
  <si>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</si>
  <si>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</si>
  <si>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</si>
  <si>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</si>
  <si>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</si>
  <si>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</si>
  <si>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</si>
  <si>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</si>
  <si>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</si>
  <si>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</si>
  <si>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</si>
  <si>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</si>
  <si>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</si>
  <si>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</si>
  <si>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</si>
  <si>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</si>
  <si>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</si>
  <si>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</si>
  <si>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</si>
  <si>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</si>
  <si>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</si>
  <si>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</si>
  <si>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</si>
  <si>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</si>
  <si>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</si>
  <si>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</si>
  <si>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</si>
  <si>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</si>
  <si>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</si>
  <si>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</si>
  <si>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</si>
  <si>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</si>
  <si>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</si>
  <si>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</si>
  <si>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</si>
  <si>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</si>
  <si>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</si>
  <si>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</si>
  <si>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</si>
  <si>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</si>
  <si>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</si>
  <si>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</si>
  <si>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</si>
  <si>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</si>
  <si>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</si>
  <si>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</si>
  <si>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</si>
  <si>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</si>
  <si>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</si>
  <si>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</si>
  <si>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</si>
  <si>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</si>
  <si>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</si>
  <si>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</si>
  <si>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</si>
  <si>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</si>
  <si>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</si>
  <si>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</si>
  <si>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</si>
  <si>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</si>
  <si>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</si>
  <si>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</si>
  <si>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</si>
  <si>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</si>
  <si>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</si>
  <si>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</si>
  <si>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</si>
  <si>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</si>
  <si>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</si>
  <si>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</si>
  <si>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</si>
  <si>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</si>
  <si>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</si>
  <si>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</si>
  <si>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</si>
  <si>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</si>
  <si>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</si>
  <si>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</si>
  <si>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</si>
  <si>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</si>
  <si>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</si>
  <si>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</si>
  <si>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</si>
  <si>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</si>
  <si>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</si>
  <si>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</si>
  <si>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</si>
  <si>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</si>
  <si>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</si>
  <si>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</si>
  <si>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</si>
  <si>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</si>
  <si>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</si>
  <si>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</si>
  <si>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</si>
  <si>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</si>
  <si>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</si>
  <si>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</si>
  <si>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</si>
  <si>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</si>
  <si>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</si>
  <si>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</si>
  <si>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</si>
  <si>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</si>
  <si>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</si>
  <si>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</si>
  <si>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</si>
  <si>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</si>
  <si>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</si>
  <si>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</si>
  <si>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</si>
  <si>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</si>
  <si>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</si>
  <si>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</si>
  <si>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</si>
  <si>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</si>
  <si>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</si>
  <si>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</si>
  <si>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</si>
  <si>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</si>
  <si>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</si>
  <si>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</si>
  <si>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</si>
  <si>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</si>
  <si>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</si>
  <si>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</si>
  <si>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</si>
  <si>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</si>
  <si>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</si>
  <si>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</si>
  <si>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</si>
  <si>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</si>
  <si>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</si>
  <si>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</si>
  <si>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</si>
  <si>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</si>
  <si>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</si>
  <si>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</si>
  <si>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</si>
  <si>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</si>
  <si>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</si>
  <si>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</si>
  <si>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</si>
  <si>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</si>
  <si>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</si>
  <si>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</si>
  <si>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</si>
  <si>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</si>
  <si>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</si>
  <si>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</si>
  <si>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</si>
  <si>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</si>
  <si>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</si>
  <si>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</si>
  <si>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</si>
  <si>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</si>
  <si>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</si>
  <si>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</si>
  <si>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</si>
  <si>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</si>
  <si>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</si>
  <si>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</si>
  <si>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</si>
  <si>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</si>
  <si>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</si>
  <si>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</si>
  <si>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</si>
  <si>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</si>
  <si>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</si>
  <si>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</si>
  <si>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</si>
  <si>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</si>
  <si>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</si>
  <si>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</si>
  <si>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</si>
  <si>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</si>
  <si>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</si>
  <si>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</si>
  <si>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</si>
  <si>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</si>
  <si>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</si>
  <si>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</si>
  <si>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</si>
  <si>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</si>
  <si>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</si>
  <si>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</si>
  <si>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</si>
  <si>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</si>
  <si>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</si>
  <si>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</si>
  <si>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</si>
  <si>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</si>
  <si>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</si>
  <si>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</si>
  <si>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</si>
  <si>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</si>
  <si>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</si>
  <si>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</si>
  <si>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</si>
  <si>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</si>
  <si>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</si>
  <si>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</si>
  <si>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</si>
  <si>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</si>
  <si>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</si>
  <si>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</si>
  <si>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</si>
  <si>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</si>
  <si>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</si>
  <si>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</si>
  <si>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</si>
  <si>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</si>
  <si>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</si>
  <si>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</si>
  <si>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</si>
  <si>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</si>
  <si>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</si>
  <si>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</si>
  <si>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</si>
  <si>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</si>
  <si>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</si>
  <si>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</si>
  <si>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</si>
  <si>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</si>
  <si>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</si>
  <si>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</si>
  <si>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</si>
  <si>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</si>
  <si>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</si>
  <si>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</si>
  <si>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</si>
  <si>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</si>
  <si>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</si>
  <si>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</si>
  <si>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</si>
  <si>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</si>
  <si>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</si>
  <si>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</si>
  <si>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</si>
  <si>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</si>
  <si>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</si>
  <si>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</si>
  <si>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</si>
  <si>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</si>
  <si>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</si>
  <si>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</si>
  <si>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</si>
  <si>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</si>
  <si>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</si>
  <si>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</si>
  <si>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</si>
  <si>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</si>
  <si>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</si>
  <si>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</si>
  <si>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</si>
  <si>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</si>
  <si>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</si>
  <si>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</si>
  <si>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</si>
  <si>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</si>
  <si>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</si>
  <si>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</si>
  <si>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</si>
  <si>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</si>
  <si>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</si>
  <si>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</si>
  <si>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</si>
  <si>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</si>
  <si>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</si>
  <si>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</si>
  <si>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</si>
  <si>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</si>
  <si>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</si>
  <si>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</si>
  <si>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</si>
  <si>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</si>
  <si>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</si>
  <si>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</si>
  <si>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</si>
  <si>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</si>
  <si>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</si>
  <si>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</si>
  <si>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</si>
  <si>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</si>
  <si>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</si>
  <si>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</si>
  <si>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</si>
  <si>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</si>
  <si>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</si>
  <si>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</si>
  <si>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</si>
  <si>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</si>
  <si>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</si>
  <si>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</si>
  <si>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</si>
  <si>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</si>
  <si>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</si>
  <si>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</si>
  <si>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</si>
  <si>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</si>
  <si>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</si>
  <si>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</si>
  <si>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</si>
  <si>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</si>
  <si>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</si>
  <si>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</si>
  <si>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</si>
  <si>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</si>
  <si>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</si>
  <si>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</si>
  <si>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</si>
  <si>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</si>
  <si>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</si>
  <si>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</si>
  <si>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</si>
  <si>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</si>
  <si>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</si>
  <si>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</si>
  <si>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</si>
  <si>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</si>
  <si>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</si>
  <si>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</si>
  <si>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</si>
  <si>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</si>
  <si>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</si>
  <si>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</si>
  <si>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</si>
  <si>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</si>
  <si>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</si>
  <si>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</si>
  <si>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</si>
  <si>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</si>
  <si>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</si>
  <si>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</si>
  <si>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</si>
  <si>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</si>
  <si>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</si>
  <si>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</si>
  <si>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</si>
  <si>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</si>
  <si>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</si>
  <si>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</si>
  <si>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</si>
  <si>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</si>
  <si>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</si>
  <si>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</si>
  <si>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</si>
  <si>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</si>
  <si>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</si>
  <si>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</si>
  <si>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</si>
  <si>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</si>
  <si>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</si>
  <si>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</si>
  <si>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</si>
  <si>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</si>
  <si>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</si>
  <si>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</si>
  <si>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</si>
  <si>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</si>
  <si>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</si>
  <si>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</si>
  <si>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</si>
  <si>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</si>
  <si>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</si>
  <si>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</si>
  <si>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</si>
  <si>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</si>
  <si>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</si>
  <si>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</si>
  <si>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</si>
  <si>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</si>
  <si>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</si>
  <si>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</si>
  <si>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</si>
  <si>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</si>
  <si>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</si>
  <si>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</si>
  <si>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</si>
  <si>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</si>
  <si>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</si>
  <si>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</si>
  <si>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</si>
  <si>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</si>
  <si>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</si>
  <si>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</si>
  <si>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</si>
  <si>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</si>
  <si>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</si>
  <si>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</si>
  <si>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</si>
  <si>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</si>
  <si>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</si>
  <si>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</si>
  <si>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</si>
  <si>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</si>
  <si>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</si>
  <si>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</si>
  <si>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</si>
  <si>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</si>
  <si>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</si>
  <si>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</si>
  <si>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</si>
  <si>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</si>
  <si>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</si>
  <si>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</si>
  <si>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</si>
  <si>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</si>
  <si>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</si>
  <si>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</si>
  <si>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</si>
  <si>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</si>
  <si>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</si>
  <si>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</si>
  <si>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</si>
  <si>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</si>
  <si>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</si>
  <si>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</si>
  <si>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</si>
  <si>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</si>
  <si>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</si>
  <si>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</si>
  <si>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</si>
  <si>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</si>
  <si>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</si>
  <si>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</si>
  <si>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</si>
  <si>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</si>
  <si>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</si>
  <si>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</si>
  <si>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</si>
  <si>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</si>
  <si>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</si>
  <si>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</si>
  <si>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</si>
  <si>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</si>
  <si>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</si>
  <si>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</si>
  <si>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</si>
  <si>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</si>
  <si>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</si>
  <si>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</si>
  <si>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</si>
  <si>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</si>
  <si>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</si>
  <si>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</si>
  <si>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</si>
  <si>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</si>
  <si>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</si>
  <si>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</si>
  <si>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</si>
  <si>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</si>
  <si>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</si>
  <si>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</si>
  <si>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</si>
  <si>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</si>
  <si>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</si>
  <si>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</si>
  <si>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</si>
  <si>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</si>
  <si>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</si>
  <si>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</si>
  <si>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</si>
  <si>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</si>
  <si>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</si>
  <si>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</si>
  <si>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</si>
  <si>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</si>
  <si>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</si>
  <si>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</si>
  <si>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</si>
  <si>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</si>
  <si>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</si>
  <si>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</si>
  <si>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</si>
  <si>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</si>
  <si>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</si>
  <si>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</si>
  <si>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</si>
  <si>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</si>
  <si>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</si>
  <si>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</si>
  <si>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</si>
  <si>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</si>
  <si>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</si>
  <si>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</si>
  <si>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</si>
  <si>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</si>
  <si>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</si>
  <si>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</si>
  <si>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</si>
  <si>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</si>
  <si>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</si>
  <si>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</si>
  <si>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</si>
  <si>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</si>
  <si>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</si>
  <si>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</si>
  <si>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</si>
  <si>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</si>
  <si>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</si>
  <si>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</si>
  <si>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</si>
  <si>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</si>
  <si>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</si>
  <si>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</si>
  <si>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</si>
  <si>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</si>
  <si>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</si>
  <si>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</si>
  <si>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</si>
  <si>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</si>
  <si>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</si>
  <si>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</si>
  <si>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</si>
  <si>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</si>
  <si>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</si>
  <si>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</si>
  <si>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</si>
  <si>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</si>
  <si>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</si>
  <si>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</si>
  <si>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</si>
  <si>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</si>
  <si>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</si>
  <si>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</si>
  <si>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</si>
  <si>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</si>
  <si>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</si>
  <si>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</si>
  <si>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</si>
  <si>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</si>
  <si>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</si>
  <si>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</si>
  <si>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</si>
  <si>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</si>
  <si>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</si>
  <si>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</si>
  <si>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</si>
  <si>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</si>
  <si>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</si>
  <si>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</si>
  <si>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</si>
  <si>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</si>
  <si>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</si>
  <si>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</si>
  <si>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</si>
  <si>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</si>
  <si>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</si>
  <si>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</si>
  <si>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</si>
  <si>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</si>
  <si>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</si>
  <si>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</si>
  <si>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</si>
  <si>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</si>
  <si>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</si>
  <si>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</si>
  <si>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</si>
  <si>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</si>
  <si>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</si>
  <si>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</si>
  <si>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</si>
  <si>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</si>
  <si>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</si>
  <si>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</si>
  <si>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</si>
  <si>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</si>
  <si>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</si>
  <si>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</si>
  <si>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</si>
  <si>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</si>
  <si>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</si>
  <si>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</si>
  <si>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</si>
  <si>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</si>
  <si>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</si>
  <si>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</si>
  <si>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</si>
  <si>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</si>
  <si>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</si>
  <si>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</si>
  <si>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</si>
  <si>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</si>
  <si>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</si>
  <si>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</si>
  <si>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</si>
  <si>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</si>
  <si>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</si>
  <si>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</si>
  <si>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</si>
  <si>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</si>
  <si>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</si>
  <si>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</si>
  <si>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</si>
  <si>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</si>
  <si>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</si>
  <si>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</si>
  <si>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</si>
  <si>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</si>
  <si>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</si>
  <si>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</si>
  <si>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</si>
  <si>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</si>
  <si>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</si>
  <si>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</si>
  <si>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</si>
  <si>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</si>
  <si>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</si>
  <si>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</si>
  <si>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</si>
  <si>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</si>
  <si>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</si>
  <si>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</si>
  <si>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</si>
  <si>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</si>
  <si>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</si>
  <si>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</si>
  <si>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</si>
  <si>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</si>
  <si>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</si>
  <si>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</si>
  <si>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</si>
  <si>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</si>
  <si>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</si>
  <si>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</si>
  <si>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</si>
  <si>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</si>
  <si>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</si>
  <si>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</si>
  <si>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</si>
  <si>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</si>
  <si>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</si>
  <si>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</si>
  <si>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</si>
  <si>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</si>
  <si>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</si>
  <si>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</si>
  <si>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</si>
  <si>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</si>
  <si>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</si>
  <si>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</si>
  <si>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</si>
  <si>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</si>
  <si>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</si>
  <si>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</si>
  <si>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</si>
  <si>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</si>
  <si>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</si>
  <si>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</si>
  <si>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</si>
  <si>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</si>
  <si>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</si>
  <si>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</si>
  <si>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</si>
  <si>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</si>
  <si>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</si>
  <si>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</si>
  <si>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</si>
  <si>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</si>
  <si>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</si>
  <si>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</si>
  <si>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</si>
  <si>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</si>
  <si>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</si>
  <si>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</si>
  <si>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</si>
  <si>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</si>
  <si>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</si>
  <si>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</si>
  <si>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</si>
  <si>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</si>
  <si>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</si>
  <si>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</si>
  <si>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</si>
  <si>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</si>
  <si>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</si>
  <si>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</si>
  <si>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</si>
  <si>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</si>
  <si>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</si>
  <si>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</si>
  <si>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</si>
  <si>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</si>
  <si>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</si>
  <si>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</si>
  <si>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</si>
  <si>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</si>
  <si>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</si>
  <si>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</si>
  <si>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</si>
  <si>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</si>
  <si>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</si>
  <si>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</si>
  <si>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</si>
  <si>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</si>
  <si>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</si>
  <si>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</si>
  <si>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</si>
  <si>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</si>
  <si>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</si>
  <si>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</si>
  <si>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</si>
  <si>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</si>
  <si>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</si>
  <si>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</si>
  <si>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</si>
  <si>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</si>
  <si>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</si>
  <si>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</si>
  <si>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</si>
  <si>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</si>
  <si>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</si>
  <si>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</si>
  <si>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</si>
  <si>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</si>
  <si>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</si>
  <si>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</si>
  <si>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</si>
  <si>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</si>
  <si>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</si>
  <si>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</si>
  <si>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</si>
  <si>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</si>
  <si>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</si>
  <si>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</si>
  <si>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</si>
  <si>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</si>
  <si>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</si>
  <si>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</si>
  <si>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</si>
  <si>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</si>
  <si>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</si>
  <si>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</si>
  <si>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</si>
  <si>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</si>
  <si>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</si>
  <si>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</si>
  <si>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</si>
  <si>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</si>
  <si>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</si>
  <si>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</si>
  <si>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</si>
  <si>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</si>
  <si>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</si>
  <si>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</si>
  <si>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</si>
  <si>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</si>
  <si>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</si>
  <si>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</si>
  <si>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</si>
  <si>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</si>
  <si>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</si>
  <si>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</si>
  <si>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</si>
  <si>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</si>
  <si>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</si>
  <si>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</si>
  <si>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</si>
  <si>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</si>
  <si>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</si>
  <si>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</si>
  <si>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</si>
  <si>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</si>
  <si>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</si>
  <si>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</si>
  <si>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</si>
  <si>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</si>
  <si>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</si>
  <si>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</si>
  <si>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</si>
  <si>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</si>
  <si>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</si>
  <si>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</si>
  <si>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</si>
  <si>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</si>
  <si>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</si>
  <si>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</si>
  <si>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</si>
  <si>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</si>
  <si>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</si>
  <si>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</si>
  <si>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</si>
  <si>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</si>
  <si>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</si>
  <si>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</si>
  <si>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</si>
  <si>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</si>
  <si>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</si>
  <si>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</si>
  <si>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</si>
  <si>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</si>
  <si>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</si>
  <si>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</si>
  <si>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</si>
  <si>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</si>
  <si>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</si>
  <si>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</si>
  <si>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</si>
  <si>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</si>
  <si>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</si>
  <si>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</si>
  <si>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</si>
  <si>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</si>
  <si>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</si>
  <si>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</si>
  <si>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</si>
  <si>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</si>
  <si>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</si>
  <si>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</si>
  <si>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</si>
  <si>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</si>
  <si>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</si>
  <si>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</si>
  <si>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</si>
  <si>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</si>
  <si>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</si>
  <si>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</si>
  <si>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</si>
  <si>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</si>
  <si>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</si>
  <si>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</si>
  <si>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</si>
  <si>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</si>
  <si>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</si>
  <si>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</si>
  <si>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</si>
  <si>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</si>
  <si>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</si>
  <si>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</si>
  <si>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</si>
  <si>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</si>
  <si>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</si>
  <si>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</si>
  <si>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</si>
  <si>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</si>
  <si>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</si>
  <si>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</si>
  <si>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</si>
  <si>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</si>
  <si>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</si>
  <si>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</si>
  <si>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</si>
  <si>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</si>
  <si>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</si>
  <si>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</si>
  <si>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</si>
  <si>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</si>
  <si>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</si>
  <si>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</si>
  <si>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</si>
  <si>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</si>
  <si>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</si>
  <si>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</si>
  <si>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</si>
  <si>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</si>
  <si>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</si>
  <si>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</si>
  <si>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</si>
  <si>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</si>
  <si>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</si>
  <si>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</si>
  <si>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</si>
  <si>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</si>
  <si>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</si>
  <si>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</si>
  <si>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</si>
  <si>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</si>
  <si>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</si>
  <si>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</si>
  <si>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</si>
  <si>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</si>
  <si>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</si>
  <si>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</si>
  <si>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</si>
  <si>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</si>
  <si>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</si>
  <si>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</si>
  <si>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</si>
  <si>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</si>
  <si>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</si>
  <si>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</si>
  <si>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</si>
  <si>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</si>
  <si>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</si>
  <si>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</si>
  <si>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</si>
  <si>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</si>
  <si>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</si>
  <si>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</si>
  <si>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</si>
  <si>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</si>
  <si>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</si>
  <si>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</si>
  <si>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</si>
  <si>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</si>
  <si>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</si>
  <si>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</si>
  <si>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</si>
  <si>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</si>
  <si>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</si>
  <si>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</si>
  <si>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</si>
  <si>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</si>
  <si>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</si>
  <si>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</si>
  <si>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</si>
  <si>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</si>
  <si>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</si>
  <si>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</si>
  <si>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</si>
  <si>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</si>
  <si>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</si>
  <si>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</si>
  <si>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</si>
  <si>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</si>
  <si>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</si>
  <si>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</si>
  <si>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</si>
  <si>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</si>
  <si>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</si>
  <si>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</si>
  <si>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</si>
  <si>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</si>
  <si>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</si>
  <si>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</si>
  <si>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</si>
  <si>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</si>
  <si>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</si>
  <si>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</si>
  <si>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</si>
  <si>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</si>
  <si>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</si>
  <si>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</si>
  <si>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</si>
  <si>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</si>
  <si>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</si>
  <si>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</si>
  <si>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</si>
  <si>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</si>
  <si>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</si>
  <si>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</si>
  <si>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</si>
  <si>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</si>
  <si>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</si>
  <si>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</si>
  <si>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</si>
  <si>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</si>
  <si>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</si>
  <si>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</si>
  <si>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</si>
  <si>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</si>
  <si>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</si>
  <si>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</si>
  <si>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</si>
  <si>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</si>
  <si>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</si>
  <si>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</si>
  <si>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</si>
  <si>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</si>
  <si>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</si>
  <si>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</si>
  <si>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</si>
  <si>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</si>
  <si>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</si>
  <si>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</si>
  <si>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</si>
  <si>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</si>
  <si>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</si>
  <si>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</si>
  <si>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</si>
  <si>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</si>
  <si>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</si>
  <si>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</si>
  <si>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</si>
  <si>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</si>
  <si>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</si>
  <si>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</si>
  <si>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</si>
  <si>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</si>
  <si>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</si>
  <si>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</si>
  <si>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</si>
  <si>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</si>
  <si>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</si>
  <si>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</si>
  <si>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</si>
  <si>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</si>
  <si>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</si>
  <si>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</si>
  <si>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</si>
  <si>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</si>
  <si>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</si>
  <si>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</si>
  <si>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</si>
  <si>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</si>
  <si>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</si>
  <si>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</si>
  <si>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</si>
  <si>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</si>
  <si>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</si>
  <si>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</si>
  <si>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</si>
  <si>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</si>
  <si>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</si>
  <si>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</si>
  <si>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</si>
  <si>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</si>
  <si>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</si>
  <si>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</si>
  <si>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</si>
  <si>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</si>
  <si>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</si>
  <si>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</si>
  <si>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</si>
  <si>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</si>
  <si>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</si>
  <si>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</si>
  <si>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</si>
  <si>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</si>
  <si>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</si>
  <si>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</si>
  <si>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</si>
  <si>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</si>
  <si>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</si>
  <si>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</si>
  <si>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</si>
  <si>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</si>
  <si>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</si>
  <si>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</si>
  <si>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</si>
  <si>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</si>
  <si>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</si>
  <si>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</si>
  <si>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</si>
  <si>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</si>
  <si>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</si>
  <si>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</si>
  <si>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</si>
  <si>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</si>
  <si>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</si>
  <si>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</si>
  <si>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</si>
  <si>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</si>
  <si>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</si>
  <si>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</si>
  <si>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</si>
  <si>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</si>
  <si>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</si>
  <si>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</si>
  <si>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</si>
  <si>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</si>
  <si>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</si>
  <si>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</si>
  <si>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</si>
  <si>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</si>
  <si>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</si>
  <si>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</si>
  <si>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</si>
  <si>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</si>
  <si>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</si>
  <si>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</si>
  <si>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</si>
  <si>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</si>
  <si>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</si>
  <si>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</si>
  <si>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</si>
  <si>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</si>
  <si>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</si>
  <si>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</si>
  <si>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</si>
  <si>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</si>
  <si>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</si>
  <si>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</si>
  <si>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</si>
  <si>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</si>
  <si>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</si>
  <si>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</si>
  <si>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</si>
  <si>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</si>
  <si>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</si>
  <si>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</si>
  <si>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</si>
  <si>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</si>
  <si>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</si>
  <si>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</si>
  <si>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</si>
  <si>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</si>
  <si>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</si>
  <si>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</si>
  <si>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</si>
  <si>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</si>
  <si>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</si>
  <si>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</si>
  <si>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</si>
  <si>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</si>
  <si>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</si>
  <si>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</si>
  <si>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</si>
  <si>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</si>
  <si>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</si>
  <si>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</si>
  <si>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</si>
  <si>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</si>
  <si>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</si>
  <si>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</si>
  <si>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</si>
  <si>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</si>
  <si>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</si>
  <si>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</si>
  <si>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</si>
  <si>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</si>
  <si>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</si>
  <si>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</si>
  <si>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</si>
  <si>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</si>
  <si>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</si>
  <si>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</si>
  <si>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</si>
  <si>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</si>
  <si>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</si>
  <si>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</si>
  <si>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</si>
  <si>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</si>
  <si>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</si>
  <si>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</si>
  <si>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</si>
  <si>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</si>
  <si>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</si>
  <si>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</si>
  <si>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</si>
  <si>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</si>
  <si>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</si>
  <si>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</si>
  <si>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</si>
  <si>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</si>
  <si>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</si>
  <si>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</si>
  <si>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</si>
  <si>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</si>
  <si>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</si>
  <si>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</si>
  <si>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</si>
  <si>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Andrés</t>
  </si>
  <si>
    <t>Olise</t>
  </si>
  <si>
    <t>Oyarzabal</t>
  </si>
  <si>
    <t>Kane</t>
  </si>
  <si>
    <t>Pedri</t>
  </si>
  <si>
    <t>Bellingham</t>
  </si>
  <si>
    <t>Mbappe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</si>
</sst>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xmlns=""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31"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P.3 (2)</v>
      </c>
      <c r="G4" s="16"/>
      <c r="H4" s="16" t="str">
        <f t="shared" ref="H4:H9" ca="1" si="3">IF(D4="Pendiente","-",INDEX($BZ$6:$BZ$53,MATCH($AA4,$BD$6:$BD$53,0)))</f>
        <v>P.1 (2)</v>
      </c>
      <c r="I4" s="16" t="str">
        <f t="shared" ref="I4:I9" ca="1" si="4">IF(D4="Pendiente","-",INDEX($BZ$6:$BZ$53,MATCH($AF4,$BD$6:$BD$53,0)))</f>
        <v>P.3 (2)</v>
      </c>
      <c r="J4" s="16"/>
      <c r="K4" s="16" t="str">
        <f t="shared" ref="K4:K9" ca="1" si="5">IF(D4="Pendiente","-",INDEX($CE$6:$CE$53,MATCH($AA4,$BD$6:$BD$53,0)))</f>
        <v>P.1 (2)</v>
      </c>
      <c r="L4" s="16" t="str">
        <f t="shared" ref="L4:L9" ca="1" si="6">IF(D4="Pendiente","-",INDEX($CE$6:$CE$53,MATCH($AF4,$BD$6:$BD$53,0)))</f>
        <v>P.3 (2)</v>
      </c>
      <c r="M4" s="16"/>
      <c r="N4" s="16" t="str">
        <f t="shared" ref="N4:N9" ca="1" si="7">IF(D4="Pendiente","-",INDEX($CH$6:$CH$53,MATCH($AA4,$BD$6:$BD$53,0)))</f>
        <v>P.1 (2)</v>
      </c>
      <c r="O4" s="16" t="str">
        <f t="shared" ref="O4:O9" ca="1" si="8">IF(D4="Pendiente","-",INDEX($CH$6:$CH$53,MATCH($AF4,$BD$6:$BD$53,0)))</f>
        <v>P.3 (2)</v>
      </c>
      <c r="P4" s="16"/>
      <c r="Q4" s="16" t="str">
        <f t="shared" ref="Q4:Q9" ca="1" si="9">IF(D4="Pendiente","-",INDEX($CN$6:$CN$53,MATCH($AA4,$BD$6:$BD$53,0)))</f>
        <v>P.1 (2)</v>
      </c>
      <c r="R4" s="16" t="str">
        <f t="shared" ref="R4:R9" ca="1" si="10">IF(D4="Pendiente","-",INDEX($CN$6:$CN$53,MATCH($AF4,$BD$6:$BD$53,0)))</f>
        <v>P.3 (2)</v>
      </c>
      <c r="S4" s="16"/>
      <c r="T4" s="16" t="str">
        <f t="shared" ref="T4:T9" ca="1" si="11">IF(D4="Pendiente","-",INDEX($CS$6:$CS$53,MATCH($AA4,$BD$6:$BD$53,0)))</f>
        <v>P.1 (2)</v>
      </c>
      <c r="U4" s="16" t="str">
        <f t="shared" ref="U4:U9" ca="1" si="12">IF(D4="Pendiente","-",INDEX($CS$6:$CS$53,MATCH($AF4,$BD$6:$BD$53,0)))</f>
        <v>P.3 (2)</v>
      </c>
      <c r="V4" s="17"/>
      <c r="W4" s="668" t="s">
        <v>0</v>
      </c>
      <c r="X4" s="24">
        <f ca="1">Horarios!C4</f>
        <v>46184.875</v>
      </c>
      <c r="Y4" s="25">
        <f ca="1">Horarios!C4</f>
        <v>46184.875</v>
      </c>
      <c r="Z4" s="26" t="str">
        <f>Idiomas!D61</f>
        <v>J1</v>
      </c>
      <c r="AA4" s="27" t="str">
        <f ca="1">+A5</f>
        <v>México</v>
      </c>
      <c r="AB4" s="49" t="str" cm="1">
        <f t="array" aca="1" ref="AB4" ca="1">Ver_flag_local</f>
        <v/>
      </c>
      <c r="AC4" s="50">
        <v>3</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P.1 (2)</v>
      </c>
      <c r="F5" s="16" t="str">
        <f t="shared" ca="1" si="2"/>
        <v>P.3 (2)</v>
      </c>
      <c r="G5" s="16"/>
      <c r="H5" s="16" t="str">
        <f t="shared" ca="1" si="3"/>
        <v>P.1 (2)</v>
      </c>
      <c r="I5" s="16" t="str">
        <f t="shared" ca="1" si="4"/>
        <v>P.3 (2)</v>
      </c>
      <c r="J5" s="16"/>
      <c r="K5" s="16" t="str">
        <f t="shared" ca="1" si="5"/>
        <v>P.1 (2)</v>
      </c>
      <c r="L5" s="16" t="str">
        <f t="shared" ca="1" si="6"/>
        <v>P.3 (2)</v>
      </c>
      <c r="M5" s="16"/>
      <c r="N5" s="16" t="str">
        <f t="shared" ca="1" si="7"/>
        <v>P.1 (2)</v>
      </c>
      <c r="O5" s="16" t="str">
        <f t="shared" ca="1" si="8"/>
        <v>P.3 (2)</v>
      </c>
      <c r="P5" s="16"/>
      <c r="Q5" s="16" t="str">
        <f t="shared" ca="1" si="9"/>
        <v>P.1 (2)</v>
      </c>
      <c r="R5" s="16" t="str">
        <f t="shared" ca="1" si="10"/>
        <v>P.3 (2)</v>
      </c>
      <c r="S5" s="16"/>
      <c r="T5" s="16" t="str">
        <f t="shared" ca="1" si="11"/>
        <v>P.1 (2)</v>
      </c>
      <c r="U5" s="16" t="str">
        <f t="shared" ca="1" si="12"/>
        <v>P.3 (2)</v>
      </c>
      <c r="V5" s="17"/>
      <c r="W5" s="668"/>
      <c r="X5" s="24">
        <f ca="1">Horarios!C5</f>
        <v>46185.166666666664</v>
      </c>
      <c r="Y5" s="25">
        <f ca="1">Horarios!C5</f>
        <v>46185.166666666664</v>
      </c>
      <c r="Z5" s="26" t="str">
        <f>$Z$4</f>
        <v>J1</v>
      </c>
      <c r="AA5" s="27" t="str">
        <f ca="1">A7</f>
        <v>Corea del Sur</v>
      </c>
      <c r="AB5" s="49" t="str" cm="1">
        <f t="array" aca="1" ref="AB5" ca="1">Ver_flag_local</f>
        <v/>
      </c>
      <c r="AC5" s="50">
        <v>2</v>
      </c>
      <c r="AD5" s="51">
        <v>0</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68"/>
      <c r="X6" s="24">
        <f ca="1">Horarios!C6</f>
        <v>46191.75</v>
      </c>
      <c r="Y6" s="25">
        <f ca="1">Horarios!C6</f>
        <v>46191.75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Corea del Sur</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0</v>
      </c>
      <c r="AT6" s="41">
        <f t="shared" ca="1" si="15"/>
        <v>5</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0</v>
      </c>
      <c r="CB6" s="16">
        <f t="shared" ref="CB6:CB53" ca="1" si="28">IF($BZ6="-","-",SUMIFS(FG_GolesVisitante,FGLocal,$BD6,Part1Empate2V,$BZ6)+SUMIFS(FG_GolesLocal,FGVisitante,$BD6,Part1Empate2L,$BZ6))</f>
        <v>0</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0</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0</v>
      </c>
      <c r="CP6" s="16">
        <f t="shared" ref="CP6:CP53" ca="1" si="34">IF($CN6="-","-",SUMIFS(FG_GolesVisitante,FGLocal,$BD6,Part2Empate5V,$CN6)+SUMIFS(FG_GolesLocal,FGVisitante,$BD6,Part2Empate5L,$CN6))</f>
        <v>0</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0</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4</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Corea del Sur</v>
      </c>
    </row>
    <row r="7" spans="1:121" ht="15.95" customHeight="1">
      <c r="A7" s="16" t="str">
        <f ca="1">+Equipos!B4</f>
        <v>Corea del Sur</v>
      </c>
      <c r="B7" s="16"/>
      <c r="C7" s="16"/>
      <c r="D7" s="16" t="str">
        <f t="shared" si="0"/>
        <v>Empate</v>
      </c>
      <c r="E7" s="16" t="str">
        <f t="shared" ca="1" si="1"/>
        <v>P.1 (2)</v>
      </c>
      <c r="F7" s="16" t="str">
        <f t="shared" ca="1" si="2"/>
        <v>P.1 (2)</v>
      </c>
      <c r="G7" s="16"/>
      <c r="H7" s="16" t="str">
        <f t="shared" ca="1" si="3"/>
        <v>P.1 (2)</v>
      </c>
      <c r="I7" s="16" t="str">
        <f t="shared" ca="1" si="4"/>
        <v>P.1 (2)</v>
      </c>
      <c r="J7" s="16"/>
      <c r="K7" s="16" t="str">
        <f t="shared" ca="1" si="5"/>
        <v>P.1 (2)</v>
      </c>
      <c r="L7" s="16" t="str">
        <f t="shared" ca="1" si="6"/>
        <v>P.1 (2)</v>
      </c>
      <c r="M7" s="16"/>
      <c r="N7" s="16" t="str">
        <f t="shared" ca="1" si="7"/>
        <v>P.1 (2)</v>
      </c>
      <c r="O7" s="16" t="str">
        <f t="shared" ca="1" si="8"/>
        <v>P.1 (2)</v>
      </c>
      <c r="P7" s="16"/>
      <c r="Q7" s="16" t="str">
        <f t="shared" ca="1" si="9"/>
        <v>P.1 (2)</v>
      </c>
      <c r="R7" s="16" t="str">
        <f t="shared" ca="1" si="10"/>
        <v>P.1 (2)</v>
      </c>
      <c r="S7" s="16"/>
      <c r="T7" s="16" t="str">
        <f t="shared" ca="1" si="11"/>
        <v>P.1 (2)</v>
      </c>
      <c r="U7" s="16" t="str">
        <f t="shared" ca="1" si="12"/>
        <v>P.1 (2)</v>
      </c>
      <c r="V7" s="17"/>
      <c r="W7" s="668"/>
      <c r="X7" s="24">
        <f ca="1">Horarios!C7</f>
        <v>46192.125</v>
      </c>
      <c r="Y7" s="25">
        <f ca="1">Horarios!C7</f>
        <v>46192.125</v>
      </c>
      <c r="Z7" s="26" t="str">
        <f>$Z$6</f>
        <v>J2</v>
      </c>
      <c r="AA7" s="27" t="str">
        <f ca="1">A5</f>
        <v>México</v>
      </c>
      <c r="AB7" s="49" t="str" cm="1">
        <f t="array" aca="1" ref="AB7" ca="1">Ver_flag_local</f>
        <v/>
      </c>
      <c r="AC7" s="50">
        <v>0</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México</v>
      </c>
      <c r="AM7" s="38">
        <f t="shared" ca="1" si="15"/>
        <v>7</v>
      </c>
      <c r="AN7" s="39">
        <f t="shared" ca="1" si="15"/>
        <v>3</v>
      </c>
      <c r="AO7" s="39">
        <f t="shared" ca="1" si="15"/>
        <v>2</v>
      </c>
      <c r="AP7" s="39">
        <f t="shared" ca="1" si="15"/>
        <v>1</v>
      </c>
      <c r="AQ7" s="39">
        <f t="shared" ca="1" si="15"/>
        <v>0</v>
      </c>
      <c r="AR7" s="39">
        <f t="shared" ca="1" si="15"/>
        <v>5</v>
      </c>
      <c r="AS7" s="39">
        <f t="shared" ca="1" si="15"/>
        <v>1</v>
      </c>
      <c r="AT7" s="43">
        <f t="shared" ca="1" si="15"/>
        <v>4</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7</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1</v>
      </c>
      <c r="CB7" s="16">
        <f t="shared" ca="1" si="28"/>
        <v>1</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1</v>
      </c>
      <c r="CP7" s="16">
        <f t="shared" ca="1" si="34"/>
        <v>1</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-5</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5.95" customHeight="1">
      <c r="A8" s="16" t="str">
        <f ca="1">+Equipos!B5</f>
        <v>República Checa</v>
      </c>
      <c r="B8" s="16"/>
      <c r="C8" s="16"/>
      <c r="D8" s="16" t="str">
        <f t="shared" si="0"/>
        <v>Visitante</v>
      </c>
      <c r="E8" s="16" t="str">
        <f t="shared" ca="1" si="1"/>
        <v>P.3 (2)</v>
      </c>
      <c r="F8" s="16" t="str">
        <f t="shared" ca="1" si="2"/>
        <v>P.1 (2)</v>
      </c>
      <c r="G8" s="16"/>
      <c r="H8" s="16" t="str">
        <f t="shared" ca="1" si="3"/>
        <v>P.3 (2)</v>
      </c>
      <c r="I8" s="16" t="str">
        <f t="shared" ca="1" si="4"/>
        <v>P.1 (2)</v>
      </c>
      <c r="J8" s="16"/>
      <c r="K8" s="16" t="str">
        <f t="shared" ca="1" si="5"/>
        <v>P.3 (2)</v>
      </c>
      <c r="L8" s="16" t="str">
        <f t="shared" ca="1" si="6"/>
        <v>P.1 (2)</v>
      </c>
      <c r="M8" s="16"/>
      <c r="N8" s="16" t="str">
        <f t="shared" ca="1" si="7"/>
        <v>P.3 (2)</v>
      </c>
      <c r="O8" s="16" t="str">
        <f t="shared" ca="1" si="8"/>
        <v>P.1 (2)</v>
      </c>
      <c r="P8" s="16"/>
      <c r="Q8" s="16" t="str">
        <f t="shared" ca="1" si="9"/>
        <v>P.3 (2)</v>
      </c>
      <c r="R8" s="16" t="str">
        <f t="shared" ca="1" si="10"/>
        <v>P.1 (2)</v>
      </c>
      <c r="S8" s="16"/>
      <c r="T8" s="16" t="str">
        <f t="shared" ca="1" si="11"/>
        <v>P.3 (2)</v>
      </c>
      <c r="U8" s="16" t="str">
        <f t="shared" ca="1" si="12"/>
        <v>P.1 (2)</v>
      </c>
      <c r="V8" s="17"/>
      <c r="W8" s="668"/>
      <c r="X8" s="24">
        <f ca="1">Horarios!C8</f>
        <v>46198.125</v>
      </c>
      <c r="Y8" s="25">
        <f ca="1">Horarios!C8</f>
        <v>46198.125</v>
      </c>
      <c r="Z8" s="26" t="str">
        <f>Idiomas!D63</f>
        <v>J3</v>
      </c>
      <c r="AA8" s="27" t="str">
        <f ca="1">A8</f>
        <v>República Checa</v>
      </c>
      <c r="AB8" s="49" t="str" cm="1">
        <f t="array" aca="1" ref="AB8" ca="1">Ver_flag_local</f>
        <v/>
      </c>
      <c r="AC8" s="50">
        <v>0</v>
      </c>
      <c r="AD8" s="51">
        <v>2</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1</v>
      </c>
      <c r="AS8" s="39">
        <f t="shared" ca="1" si="15"/>
        <v>5</v>
      </c>
      <c r="AT8" s="43">
        <f t="shared" ca="1" si="15"/>
        <v>-4</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41"/>
        <v>3</v>
      </c>
      <c r="BG8" s="16">
        <f t="shared" ca="1" si="17"/>
        <v>2</v>
      </c>
      <c r="BH8" s="16">
        <f t="shared" ca="1" si="18"/>
        <v>1</v>
      </c>
      <c r="BI8" s="16">
        <f t="shared" ca="1" si="19"/>
        <v>0</v>
      </c>
      <c r="BJ8" s="16">
        <f t="shared" ca="1" si="20"/>
        <v>5</v>
      </c>
      <c r="BK8" s="16">
        <f t="shared" ca="1" si="21"/>
        <v>0</v>
      </c>
      <c r="BL8" s="16">
        <f t="shared" ca="1" si="42"/>
        <v>5</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(2)</v>
      </c>
      <c r="BU8" s="16">
        <f t="shared" ca="1" si="24"/>
        <v>0</v>
      </c>
      <c r="BV8" s="16">
        <f t="shared" ca="1" si="25"/>
        <v>1</v>
      </c>
      <c r="BW8" s="16">
        <f t="shared" ca="1" si="26"/>
        <v>0</v>
      </c>
      <c r="BX8" s="16">
        <f ca="1">IF($BT8="-","-",BU8*3+BV8)</f>
        <v>1</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(2)</v>
      </c>
      <c r="CA8" s="16">
        <f t="shared" ca="1" si="27"/>
        <v>0</v>
      </c>
      <c r="CB8" s="16">
        <f t="shared" ca="1" si="28"/>
        <v>0</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(2)</v>
      </c>
      <c r="CF8" s="16">
        <f t="shared" ca="1" si="29"/>
        <v>0</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(2)</v>
      </c>
      <c r="CI8" s="16">
        <f t="shared" ca="1" si="30"/>
        <v>0</v>
      </c>
      <c r="CJ8" s="16">
        <f t="shared" ca="1" si="31"/>
        <v>1</v>
      </c>
      <c r="CK8" s="16">
        <f t="shared" ca="1" si="32"/>
        <v>0</v>
      </c>
      <c r="CL8" s="16">
        <f ca="1">IF($CH8="-","-",CI8*3+CJ8)</f>
        <v>1</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(2)</v>
      </c>
      <c r="CO8" s="16">
        <f t="shared" ca="1" si="33"/>
        <v>0</v>
      </c>
      <c r="CP8" s="16">
        <f t="shared" ca="1" si="34"/>
        <v>0</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(2)</v>
      </c>
      <c r="CT8" s="16">
        <f t="shared" ca="1" si="35"/>
        <v>0</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(2)</v>
      </c>
      <c r="CW8" s="16">
        <f t="shared" ca="1" si="36"/>
        <v>5</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P.3 (2)</v>
      </c>
      <c r="F9" s="16" t="str">
        <f t="shared" ca="1" si="2"/>
        <v>P.1 (2)</v>
      </c>
      <c r="G9" s="16"/>
      <c r="H9" s="16" t="str">
        <f t="shared" ca="1" si="3"/>
        <v>P.3 (2)</v>
      </c>
      <c r="I9" s="16" t="str">
        <f t="shared" ca="1" si="4"/>
        <v>P.1 (2)</v>
      </c>
      <c r="J9" s="16"/>
      <c r="K9" s="16" t="str">
        <f t="shared" ca="1" si="5"/>
        <v>P.3 (2)</v>
      </c>
      <c r="L9" s="16" t="str">
        <f t="shared" ca="1" si="6"/>
        <v>P.1 (2)</v>
      </c>
      <c r="M9" s="16"/>
      <c r="N9" s="16" t="str">
        <f t="shared" ca="1" si="7"/>
        <v>P.3 (2)</v>
      </c>
      <c r="O9" s="16" t="str">
        <f t="shared" ca="1" si="8"/>
        <v>P.1 (2)</v>
      </c>
      <c r="P9" s="16"/>
      <c r="Q9" s="16" t="str">
        <f t="shared" ca="1" si="9"/>
        <v>P.3 (2)</v>
      </c>
      <c r="R9" s="16" t="str">
        <f t="shared" ca="1" si="10"/>
        <v>P.1 (2)</v>
      </c>
      <c r="S9" s="16"/>
      <c r="T9" s="16" t="str">
        <f t="shared" ca="1" si="11"/>
        <v>P.3 (2)</v>
      </c>
      <c r="U9" s="16" t="str">
        <f t="shared" ca="1" si="12"/>
        <v>P.1 (2)</v>
      </c>
      <c r="V9" s="17"/>
      <c r="W9" s="669"/>
      <c r="X9" s="28">
        <f ca="1">Horarios!C9</f>
        <v>46198.125</v>
      </c>
      <c r="Y9" s="29">
        <f ca="1">Horarios!C9</f>
        <v>46198.125</v>
      </c>
      <c r="Z9" s="30" t="str">
        <f>$Z$8</f>
        <v>J3</v>
      </c>
      <c r="AA9" s="31" t="str">
        <f ca="1">A6</f>
        <v>Sudáfrica</v>
      </c>
      <c r="AB9" s="52" t="str" cm="1">
        <f t="array" aca="1" ref="AB9" ca="1">Ver_flag_local</f>
        <v/>
      </c>
      <c r="AC9" s="53">
        <v>0</v>
      </c>
      <c r="AD9" s="54">
        <v>3</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7</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1</v>
      </c>
      <c r="BK9" s="16">
        <f t="shared" ca="1" si="21"/>
        <v>5</v>
      </c>
      <c r="BL9" s="16">
        <f t="shared" ca="1" si="42"/>
        <v>-4</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1</v>
      </c>
      <c r="CB9" s="16">
        <f t="shared" ca="1" si="28"/>
        <v>1</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1</v>
      </c>
      <c r="CP9" s="16">
        <f t="shared" ca="1" si="34"/>
        <v>1</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-4</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1</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70"/>
      <c r="X13" s="24">
        <f ca="1">Horarios!C13</f>
        <v>46186.875</v>
      </c>
      <c r="Y13" s="25">
        <f ca="1">Horarios!C13</f>
        <v>46186.875</v>
      </c>
      <c r="Z13" s="26" t="str">
        <f>$Z$4</f>
        <v>J1</v>
      </c>
      <c r="AA13" s="27" t="str">
        <f ca="1">A15</f>
        <v>Catar</v>
      </c>
      <c r="AB13" s="49" t="str" cm="1">
        <f t="array" aca="1" ref="AB13" ca="1">Ver_flag_local</f>
        <v/>
      </c>
      <c r="AC13" s="50">
        <v>0</v>
      </c>
      <c r="AD13" s="51">
        <v>3</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2</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9</v>
      </c>
      <c r="BK14" s="16">
        <f t="shared" ca="1" si="21"/>
        <v>2</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2</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3</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4</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str" cm="1">
        <f t="array" aca="1" ref="AB16" ca="1">Ver_flag_local</f>
        <v/>
      </c>
      <c r="AC16" s="50">
        <v>1</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3</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9</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1</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6</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2</v>
      </c>
      <c r="BK17" s="16">
        <f t="shared" ca="1" si="21"/>
        <v>5</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6</v>
      </c>
      <c r="BK18" s="16">
        <f t="shared" ca="1" si="21"/>
        <v>3</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2</v>
      </c>
      <c r="AD20" s="51">
        <v>2</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4</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3</v>
      </c>
      <c r="BK21" s="16">
        <f t="shared" ca="1" si="21"/>
        <v>2</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9</v>
      </c>
      <c r="AS22" s="36">
        <f t="shared" ca="1" si="87"/>
        <v>2</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10</v>
      </c>
      <c r="BK22" s="16">
        <f t="shared" ca="1" si="21"/>
        <v>1</v>
      </c>
      <c r="BL22" s="16">
        <f t="shared" ca="1" si="42"/>
        <v>9</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4</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3</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11</v>
      </c>
      <c r="BL23" s="16">
        <f t="shared" ca="1" si="42"/>
        <v>-11</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2</v>
      </c>
      <c r="AS24" s="39">
        <f t="shared" ca="1" si="87"/>
        <v>5</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5</v>
      </c>
      <c r="BK24" s="16">
        <f t="shared" ca="1" si="21"/>
        <v>2</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3</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9</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3</v>
      </c>
      <c r="BK25" s="16">
        <f t="shared" ca="1" si="21"/>
        <v>4</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4</v>
      </c>
      <c r="BF26" s="16">
        <f t="shared" ca="1" si="41"/>
        <v>3</v>
      </c>
      <c r="BG26" s="16">
        <f t="shared" ca="1" si="17"/>
        <v>1</v>
      </c>
      <c r="BH26" s="16">
        <f t="shared" ca="1" si="18"/>
        <v>1</v>
      </c>
      <c r="BI26" s="16">
        <f t="shared" ca="1" si="19"/>
        <v>1</v>
      </c>
      <c r="BJ26" s="16">
        <f t="shared" ca="1" si="20"/>
        <v>4</v>
      </c>
      <c r="BK26" s="16">
        <f t="shared" ca="1" si="21"/>
        <v>3</v>
      </c>
      <c r="BL26" s="16">
        <f t="shared" ca="1" si="42"/>
        <v>1</v>
      </c>
      <c r="BM26" s="16" t="str">
        <f t="shared" ca="1" si="22"/>
        <v>3F</v>
      </c>
      <c r="BN26" s="16" t="str">
        <f t="shared" ca="1" si="23"/>
        <v>3F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4</v>
      </c>
      <c r="BS26" s="16">
        <f ca="1">BP26+COUNTIFS($BQ$6:$BQ$53,BQ26,$BR$6:BR$53,"&gt;"&amp;BR26,$BC$6:$BC$53,INDEX(T_Equipos[Grupo],MATCH(BD26,T_Equipos[NombreEquipo],0)))</f>
        <v>3</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3</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3</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3</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3</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3</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3</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3</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3</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3</v>
      </c>
      <c r="DE26" s="16"/>
      <c r="DF26" s="16">
        <f t="shared" ca="1" si="52"/>
        <v>3</v>
      </c>
      <c r="DG26" s="16" t="str">
        <f ca="1">IF(DB26="-","-",COUNTIFS(DF$6:DF$53,"&lt;"&amp;DF26,$BC$6:$BC$53,INDEX(T_Equipos[Grupo],MATCH(BD26,T_Equipos[NombreEquipo],0))))</f>
        <v>-</v>
      </c>
      <c r="DH26" s="16">
        <f ca="1">DA26+COUNTIFS(DB$6:DB$53,DB26,DG$6:DG$53,"&lt;"&amp;DG26,$BC$6:$BC$53,INDEX(T_Equipos[Grupo],MATCH(BD26,T_Equipos[NombreEquipo],0)))</f>
        <v>3</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Suecia</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4</v>
      </c>
      <c r="BK27" s="16">
        <f t="shared" ca="1" si="21"/>
        <v>2</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3</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5</v>
      </c>
      <c r="BK28" s="16">
        <f t="shared" ca="1" si="21"/>
        <v>3</v>
      </c>
      <c r="BL28" s="16">
        <f t="shared" ca="1" si="42"/>
        <v>2</v>
      </c>
      <c r="BM28" s="16" t="str">
        <f t="shared" ca="1" si="22"/>
        <v>1F</v>
      </c>
      <c r="BN28" s="16" t="str">
        <f t="shared" ca="1" si="23"/>
        <v>1F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1</v>
      </c>
      <c r="DE28" s="16"/>
      <c r="DF28" s="16">
        <f t="shared" ca="1" si="52"/>
        <v>1</v>
      </c>
      <c r="DG28" s="16" t="str">
        <f ca="1">IF(DB28="-","-",COUNTIFS(DF$6:DF$53,"&lt;"&amp;DF28,$BC$6:$BC$53,INDEX(T_Equipos[Grupo],MATCH(BD28,T_Equipos[NombreEquipo],0))))</f>
        <v>-</v>
      </c>
      <c r="DH28" s="16">
        <f ca="1">DA28+COUNTIFS(DB$6:DB$53,DB28,DG$6:DG$53,"&lt;"&amp;DG28,$BC$6:$BC$53,INDEX(T_Equipos[Grupo],MATCH(BD28,T_Equipos[NombreEquipo],0)))</f>
        <v>1</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Países Bajos</v>
      </c>
    </row>
    <row r="29" spans="1:121" ht="15.95"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1</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1</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3</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2</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1</v>
      </c>
      <c r="AD31" s="51">
        <v>0</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3</v>
      </c>
      <c r="AS31" s="39">
        <f t="shared" ca="1" si="107"/>
        <v>2</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3</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1</v>
      </c>
      <c r="AD32" s="51">
        <v>1</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4</v>
      </c>
      <c r="BK32" s="16">
        <f t="shared" ca="1" si="21"/>
        <v>5</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4</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7</v>
      </c>
      <c r="BL33" s="16">
        <f t="shared" ca="1" si="42"/>
        <v>-7</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10</v>
      </c>
      <c r="BK34" s="16">
        <f t="shared" ca="1" si="21"/>
        <v>2</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7</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6</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6</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2</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10</v>
      </c>
      <c r="AS38" s="36">
        <f t="shared" ca="1" si="127"/>
        <v>1</v>
      </c>
      <c r="AT38" s="41">
        <f t="shared" ca="1" si="127"/>
        <v>9</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1</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2</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5</v>
      </c>
      <c r="AS39" s="39">
        <f t="shared" ca="1" si="127"/>
        <v>2</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0</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3</v>
      </c>
      <c r="AS40" s="39">
        <f t="shared" ca="1" si="127"/>
        <v>4</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1</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11</v>
      </c>
      <c r="AT41" s="48">
        <f t="shared" ca="1" si="127"/>
        <v>-11</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3</v>
      </c>
      <c r="BK41" s="16">
        <f t="shared" ca="1" si="21"/>
        <v>3</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0</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2</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3</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0</v>
      </c>
      <c r="CB43" s="16">
        <f t="shared" ca="1" si="28"/>
        <v>0</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0</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0</v>
      </c>
      <c r="CP43" s="16">
        <f t="shared" ca="1" si="34"/>
        <v>0</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0</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2</v>
      </c>
      <c r="BK44" s="16">
        <f t="shared" ca="1" si="21"/>
        <v>2</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0</v>
      </c>
      <c r="CB44" s="16">
        <f t="shared" ca="1" si="28"/>
        <v>0</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0</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0</v>
      </c>
      <c r="CP44" s="16">
        <f t="shared" ca="1" si="34"/>
        <v>0</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0</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2</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Visitante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1</v>
      </c>
      <c r="AD46" s="51">
        <v>2</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Suecia</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3</v>
      </c>
      <c r="AT46" s="41">
        <f t="shared" ca="1" si="147"/>
        <v>2</v>
      </c>
      <c r="AU46" s="330">
        <f ca="1">INDEX($DL$6:$DL$53,MATCH(AI46,$DP$6:$DP$53,0))</f>
        <v>1</v>
      </c>
      <c r="AV46" s="182" t="str">
        <f ca="1">INDEX($BD$6:$BD$53,MATCH(AI46,$BM$6:$BM$53,0))</f>
        <v>Suecia</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9</v>
      </c>
      <c r="BK46" s="16">
        <f t="shared" ca="1" si="21"/>
        <v>2</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0</v>
      </c>
      <c r="AD47" s="51">
        <v>2</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4</v>
      </c>
      <c r="AS47" s="39">
        <f t="shared" ca="1" si="147"/>
        <v>2</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3</v>
      </c>
      <c r="BK47" s="16">
        <f t="shared" ca="1" si="21"/>
        <v>5</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2</v>
      </c>
      <c r="BT47" s="16" t="str">
        <f ca="1">IF(COUNTIFS($BS$6:$BS$53,BS47,$BC$6:$BC$53,INDEX(T_Equipos[Grupo],MATCH(BD47,T_Equipos[NombreEquipo],0)))=1,"-","P."&amp;BS47&amp;" ("&amp;COUNTIFS($BS$6:$BS$53,BS47,$BC$6:$BC$53,INDEX(T_Equipos[Grupo],MATCH(BD47,T_Equipos[NombreEquipo],0)))&amp;")")</f>
        <v>P.2 (2)</v>
      </c>
      <c r="BU47" s="16">
        <f t="shared" ca="1" si="24"/>
        <v>0</v>
      </c>
      <c r="BV47" s="16">
        <f t="shared" ca="1" si="25"/>
        <v>1</v>
      </c>
      <c r="BW47" s="16">
        <f t="shared" ca="1" si="26"/>
        <v>0</v>
      </c>
      <c r="BX47" s="16">
        <f t="shared" ca="1" si="48"/>
        <v>1</v>
      </c>
      <c r="BY47" s="16">
        <f ca="1">BS47+COUNTIFS($BT$6:$BT$53,BT47,$BX$6:BX$53,"&gt;"&amp;BX47,$BC$6:$BC$53,INDEX(T_Equipos[Grupo],MATCH(BD47,T_Equipos[NombreEquipo],0)))</f>
        <v>2</v>
      </c>
      <c r="BZ47" s="16" t="str">
        <f ca="1">IF(COUNTIFS($BY$6:$BY$53,BY47,$BC$6:$BC$53,INDEX(T_Equipos[Grupo],MATCH(BD47,T_Equipos[NombreEquipo],0)))=1,"-","P."&amp;BY47&amp;" ("&amp;COUNTIFS($BY$6:$BY$53,BY47,$BC$6:$BC$53,INDEX(T_Equipos[Grupo],MATCH(BD47,T_Equipos[NombreEquipo],0)))&amp;")")</f>
        <v>P.2 (2)</v>
      </c>
      <c r="CA47" s="16">
        <f t="shared" ca="1" si="27"/>
        <v>1</v>
      </c>
      <c r="CB47" s="16">
        <f t="shared" ca="1" si="28"/>
        <v>1</v>
      </c>
      <c r="CC47" s="16">
        <f t="shared" ca="1" si="49"/>
        <v>0</v>
      </c>
      <c r="CD47" s="16">
        <f ca="1">BY47+COUNTIFS($BZ$6:$BZ$53,BZ47,$CC$6:CC$53,"&gt;"&amp;CC47,$BC$6:$BC$53,INDEX(T_Equipos[Grupo],MATCH(BD47,T_Equipos[NombreEquipo],0)))</f>
        <v>2</v>
      </c>
      <c r="CE47" s="16" t="str">
        <f ca="1">IF(COUNTIFS($CD$6:$CD$53,CD47,$BC$6:$BC$53,INDEX(T_Equipos[Grupo],MATCH(BD47,T_Equipos[NombreEquipo],0)))=1,"-","P."&amp;CD47&amp;" ("&amp;COUNTIFS($CD$6:$CD$53,CD47,$BC$6:$BC$53,INDEX(T_Equipos[Grupo],MATCH(BD47,T_Equipos[NombreEquipo],0)))&amp;")")</f>
        <v>P.2 (2)</v>
      </c>
      <c r="CF47" s="16">
        <f t="shared" ca="1" si="29"/>
        <v>1</v>
      </c>
      <c r="CG47" s="16">
        <f ca="1">CD47+COUNTIFS($CE$6:$CE$53,CE47,$CF$6:CF$53,"&gt;"&amp;CF47,$BC$6:$BC$53,INDEX(T_Equipos[Grupo],MATCH(BD47,T_Equipos[NombreEquipo],0)))</f>
        <v>2</v>
      </c>
      <c r="CH47" s="16" t="str">
        <f ca="1">IF(COUNTIFS($CG$6:$CG$53,CG47,$BC$6:$BC$53,INDEX(T_Equipos[Grupo],MATCH(BD47,T_Equipos[NombreEquipo],0)))=1,"-","P."&amp;CG47&amp;" ("&amp;COUNTIFS($CG$6:$CG$53,CG47,$BC$6:$BC$53,INDEX(T_Equipos[Grupo],MATCH(BD47,T_Equipos[NombreEquipo],0)))&amp;")")</f>
        <v>P.2 (2)</v>
      </c>
      <c r="CI47" s="16">
        <f t="shared" ca="1" si="30"/>
        <v>0</v>
      </c>
      <c r="CJ47" s="16">
        <f t="shared" ca="1" si="31"/>
        <v>1</v>
      </c>
      <c r="CK47" s="16">
        <f t="shared" ca="1" si="32"/>
        <v>0</v>
      </c>
      <c r="CL47" s="16">
        <f t="shared" ca="1" si="50"/>
        <v>1</v>
      </c>
      <c r="CM47" s="16">
        <f ca="1">CG47+COUNTIFS($CH$6:$CH$53,CH47,$CL$6:CL$53,"&gt;"&amp;CL47,$BC$6:$BC$53,INDEX(T_Equipos[Grupo],MATCH(BD47,T_Equipos[NombreEquipo],0)))</f>
        <v>2</v>
      </c>
      <c r="CN47" s="16" t="str">
        <f ca="1">IF(COUNTIFS($CM$6:$CM$53,CM47,$BC$6:$BC$53,INDEX(T_Equipos[Grupo],MATCH(BD47,T_Equipos[NombreEquipo],0)))=1,"-","P."&amp;CM47&amp;" ("&amp;COUNTIFS($CM$6:$CM$53,CM47,$BC$6:$BC$53,INDEX(T_Equipos[Grupo],MATCH(BD47,T_Equipos[NombreEquipo],0)))&amp;")")</f>
        <v>P.2 (2)</v>
      </c>
      <c r="CO47" s="16">
        <f t="shared" ca="1" si="33"/>
        <v>1</v>
      </c>
      <c r="CP47" s="16">
        <f t="shared" ca="1" si="34"/>
        <v>1</v>
      </c>
      <c r="CQ47" s="16">
        <f t="shared" ca="1" si="51"/>
        <v>0</v>
      </c>
      <c r="CR47" s="16">
        <f ca="1">CM47+COUNTIFS($CN$6:$CN$53,CN47,$CQ$6:CQ$53,"&gt;"&amp;CQ47,$BC$6:$BC$53,INDEX(T_Equipos[Grupo],MATCH(BD47,T_Equipos[NombreEquipo],0)))</f>
        <v>2</v>
      </c>
      <c r="CS47" s="16" t="str">
        <f ca="1">IF(COUNTIFS($CR$6:$CR$53,CR47,$BC$6:$BC$53,INDEX(T_Equipos[Grupo],MATCH(BD47,T_Equipos[NombreEquipo],0)))=1,"-","P."&amp;CR47&amp;" ("&amp;COUNTIFS($CR$6:$CR$53,CR47,$BC$6:$BC$53,INDEX(T_Equipos[Grupo],MATCH(BD47,T_Equipos[NombreEquipo],0)))&amp;")")</f>
        <v>P.2 (2)</v>
      </c>
      <c r="CT47" s="16">
        <f t="shared" ca="1" si="35"/>
        <v>1</v>
      </c>
      <c r="CU47" s="16">
        <f ca="1">CR47+COUNTIFS($CS$6:$CS$53,CS47,$CT$6:CT$53,"&gt;"&amp;CT47,$BC$6:$BC$53,INDEX(T_Equipos[Grupo],MATCH(BD47,T_Equipos[NombreEquipo],0)))</f>
        <v>2</v>
      </c>
      <c r="CV47" s="16" t="str">
        <f ca="1">IF(COUNTIFS($CU$6:$CU$53,CU47,$BC$6:$BC$53,INDEX(T_Equipos[Grupo],MATCH(BD47,T_Equipos[NombreEquipo],0)))=1,"-","P."&amp;CU47&amp;" ("&amp;COUNTIFS($CU$6:$CU$53,CU47,$BC$6:$BC$53,INDEX(T_Equipos[Grupo],MATCH(BD47,T_Equipos[NombreEquipo],0)))&amp;")")</f>
        <v>P.2 (2)</v>
      </c>
      <c r="CW47" s="16">
        <f t="shared" ca="1" si="36"/>
        <v>-2</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Países Bajos</v>
      </c>
      <c r="AM48" s="38">
        <f t="shared" ca="1" si="147"/>
        <v>4</v>
      </c>
      <c r="AN48" s="39">
        <f t="shared" ca="1" si="147"/>
        <v>3</v>
      </c>
      <c r="AO48" s="39">
        <f t="shared" ca="1" si="147"/>
        <v>1</v>
      </c>
      <c r="AP48" s="39">
        <f t="shared" ca="1" si="147"/>
        <v>1</v>
      </c>
      <c r="AQ48" s="39">
        <f t="shared" ca="1" si="147"/>
        <v>1</v>
      </c>
      <c r="AR48" s="39">
        <f t="shared" ca="1" si="147"/>
        <v>4</v>
      </c>
      <c r="AS48" s="39">
        <f t="shared" ca="1" si="147"/>
        <v>3</v>
      </c>
      <c r="AT48" s="43">
        <f t="shared" ca="1" si="147"/>
        <v>1</v>
      </c>
      <c r="AU48" s="330">
        <f ca="1">INDEX($DL$6:$DL$53,MATCH(AI48,$DP$6:$DP$53,0))</f>
        <v>1</v>
      </c>
      <c r="AV48" s="182" t="str">
        <f ca="1">INDEX($BD$6:$BD$53,MATCH(AI48,$BM$6:$BM$53,0))</f>
        <v>Países Bajos</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2</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4</v>
      </c>
      <c r="BF49" s="16">
        <f t="shared" ca="1" si="41"/>
        <v>3</v>
      </c>
      <c r="BG49" s="16">
        <f t="shared" ca="1" si="17"/>
        <v>1</v>
      </c>
      <c r="BH49" s="16">
        <f t="shared" ca="1" si="18"/>
        <v>1</v>
      </c>
      <c r="BI49" s="16">
        <f t="shared" ca="1" si="19"/>
        <v>1</v>
      </c>
      <c r="BJ49" s="16">
        <f t="shared" ca="1" si="20"/>
        <v>4</v>
      </c>
      <c r="BK49" s="16">
        <f t="shared" ca="1" si="21"/>
        <v>4</v>
      </c>
      <c r="BL49" s="16">
        <f t="shared" ca="1" si="42"/>
        <v>0</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P.2 (2)</v>
      </c>
      <c r="BU49" s="16">
        <f t="shared" ca="1" si="24"/>
        <v>0</v>
      </c>
      <c r="BV49" s="16">
        <f t="shared" ca="1" si="25"/>
        <v>1</v>
      </c>
      <c r="BW49" s="16">
        <f t="shared" ca="1" si="26"/>
        <v>0</v>
      </c>
      <c r="BX49" s="16">
        <f t="shared" ca="1" si="48"/>
        <v>1</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P.2 (2)</v>
      </c>
      <c r="CA49" s="16">
        <f t="shared" ca="1" si="27"/>
        <v>1</v>
      </c>
      <c r="CB49" s="16">
        <f t="shared" ca="1" si="28"/>
        <v>1</v>
      </c>
      <c r="CC49" s="16">
        <f t="shared" ca="1" si="49"/>
        <v>0</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P.2 (2)</v>
      </c>
      <c r="CF49" s="16">
        <f t="shared" ca="1" si="29"/>
        <v>1</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P.2 (2)</v>
      </c>
      <c r="CI49" s="16">
        <f t="shared" ca="1" si="30"/>
        <v>0</v>
      </c>
      <c r="CJ49" s="16">
        <f t="shared" ca="1" si="31"/>
        <v>1</v>
      </c>
      <c r="CK49" s="16">
        <f t="shared" ca="1" si="32"/>
        <v>0</v>
      </c>
      <c r="CL49" s="16">
        <f t="shared" ca="1" si="50"/>
        <v>1</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P.2 (2)</v>
      </c>
      <c r="CO49" s="16">
        <f t="shared" ca="1" si="33"/>
        <v>1</v>
      </c>
      <c r="CP49" s="16">
        <f t="shared" ca="1" si="34"/>
        <v>1</v>
      </c>
      <c r="CQ49" s="16">
        <f t="shared" ca="1" si="51"/>
        <v>0</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P.2 (2)</v>
      </c>
      <c r="CT49" s="16">
        <f t="shared" ca="1" si="35"/>
        <v>1</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P.2 (2)</v>
      </c>
      <c r="CW49" s="16">
        <f t="shared" ca="1" si="36"/>
        <v>0</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4</v>
      </c>
      <c r="BK51" s="16">
        <f t="shared" ca="1" si="21"/>
        <v>4</v>
      </c>
      <c r="BL51" s="16">
        <f t="shared" ca="1" si="42"/>
        <v>0</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2</v>
      </c>
      <c r="CB51" s="16">
        <f t="shared" ca="1" si="28"/>
        <v>2</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2</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2</v>
      </c>
      <c r="CP51" s="16">
        <f t="shared" ca="1" si="34"/>
        <v>2</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2</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0</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P.2 (2)</v>
      </c>
      <c r="CZ51" s="16">
        <f t="shared" ca="1" si="37"/>
        <v>4</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5</v>
      </c>
      <c r="BK52" s="16">
        <f t="shared" ca="1" si="21"/>
        <v>5</v>
      </c>
      <c r="BL52" s="16">
        <f t="shared" ca="1" si="42"/>
        <v>0</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2</v>
      </c>
      <c r="CB52" s="16">
        <f t="shared" ca="1" si="28"/>
        <v>2</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2</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2</v>
      </c>
      <c r="CP52" s="16">
        <f t="shared" ca="1" si="34"/>
        <v>2</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2</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P.2 (2)</v>
      </c>
      <c r="CZ52" s="16">
        <f t="shared" ca="1" si="37"/>
        <v>5</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2</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3</v>
      </c>
      <c r="AD54" s="51">
        <v>1</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2</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3</v>
      </c>
      <c r="AT55" s="43">
        <f t="shared" ca="1" si="165"/>
        <v>3</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2</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4</v>
      </c>
      <c r="AS56" s="39">
        <f t="shared" ca="1" si="165"/>
        <v>5</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7</v>
      </c>
      <c r="AT57" s="48">
        <f t="shared" ca="1" si="165"/>
        <v>-7</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-4</v>
      </c>
      <c r="BM58" s="16">
        <f ca="1">CB58</f>
        <v>12</v>
      </c>
      <c r="BN58" s="16">
        <f ca="1">CF58</f>
        <v>12</v>
      </c>
      <c r="BO58" s="16" t="str">
        <f t="shared" ref="BO58:BO69" si="174">"4"&amp;BC58</f>
        <v>4A</v>
      </c>
      <c r="BP58" s="16"/>
      <c r="BQ58" s="16"/>
      <c r="BR58" s="16">
        <f t="shared" ref="BR58:BR69" ca="1" si="175">+BE58</f>
        <v>1</v>
      </c>
      <c r="BS58" s="16">
        <f ca="1">COUNTIFS(BR$58:BR$69,"&gt;"&amp;BR58)+1</f>
        <v>12</v>
      </c>
      <c r="BT58" s="16" t="str">
        <f ca="1">IF(COUNTIF(BS$58:BS$69,BS58)=1,"-","Pos. "&amp;BS58&amp;" ("&amp;COUNTIF(BS$58:BS$69,BS58)&amp;")")</f>
        <v>-</v>
      </c>
      <c r="BU58" s="16" t="str">
        <f t="shared" ref="BU58:BU69" ca="1" si="176">IF(BT58="-","-",BL58)</f>
        <v>-</v>
      </c>
      <c r="BV58" s="16">
        <f t="shared" ref="BV58:BV69" ca="1" si="177">BS58+COUNTIFS(BT$58:BT$69,BT58,BU$58:BU$69,"&gt;"&amp;BU58)</f>
        <v>12</v>
      </c>
      <c r="BW58" s="16" t="str">
        <f t="shared" ref="BW58:BW69" ca="1" si="178">IF(COUNTIF(BV$58:BV$69,BV58)=1,"-","Pos. "&amp;BV58&amp;" ("&amp;COUNTIF(BV$58:BV$69,BV58)&amp;")")</f>
        <v>-</v>
      </c>
      <c r="BX58" s="16" t="str">
        <f t="shared" ref="BX58:BX69" ca="1" si="179">IF(BW58="-","-",BJ58)</f>
        <v>-</v>
      </c>
      <c r="BY58" s="16">
        <f t="shared" ref="BY58:BY69" ca="1" si="180">BV58+COUNTIFS(BW$58:BW$69,BW58,BX$58:BX$69,"&gt;"&amp;BX58)</f>
        <v>12</v>
      </c>
      <c r="BZ58" s="16" t="str">
        <f t="shared" ref="BZ58:BZ69" ca="1" si="181">IF(COUNTIF(BY$58:BY$69,BY58)=1,"-","Pos. "&amp;BY58&amp;" ("&amp;COUNTIF(BY$58:BY$69,BY58)&amp;")")</f>
        <v>-</v>
      </c>
      <c r="CA58" s="16" t="str">
        <f t="shared" ref="CA58:CA69" ca="1" si="182">IF(BZ58="-","-",COUNTIF($BD$58:$BD$69,"&gt;"&amp;BD58))</f>
        <v>-</v>
      </c>
      <c r="CB58" s="16">
        <f ca="1">BY58+COUNTIFS(BZ$58:BZ$69,BZ58,CA$58:CA$69,"&gt;"&amp;CA58)</f>
        <v>12</v>
      </c>
      <c r="CC58" s="16"/>
      <c r="CD58" s="16">
        <f t="shared" ref="CD58:CD69" ca="1" si="183">IF(OR(INDEX($AW$102:$AW$113,MATCH($BD58,$AV$102:$AV$113,0))="",BZ58="-"),CB58,INDEX($AW$102:$AW$113,MATCH($BD58,$AV$102:$AV$113,0))+CB58/1000)</f>
        <v>12</v>
      </c>
      <c r="CE58" s="16" t="str">
        <f ca="1">IF(BZ58="-","-",COUNTIF(CD$58:CD$69,"&lt;"&amp;CD58))</f>
        <v>-</v>
      </c>
      <c r="CF58" s="16">
        <f ca="1">BY58+COUNTIFS(BZ$58:BZ$69,BZ58,CE$58:CE$69,"&lt;"&amp;CE58)</f>
        <v>12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Países Bajos</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3</v>
      </c>
      <c r="BL59" s="16">
        <f t="shared" ref="BL59:BL69" ca="1" si="190">+BJ59-BK59</f>
        <v>-1</v>
      </c>
      <c r="BM59" s="16">
        <f t="shared" ref="BM59:BM69" ca="1" si="191">CB59</f>
        <v>8</v>
      </c>
      <c r="BN59" s="16">
        <f t="shared" ref="BN59:BN69" ca="1" si="192">CF59</f>
        <v>8</v>
      </c>
      <c r="BO59" s="16" t="str">
        <f t="shared" si="174"/>
        <v>4B</v>
      </c>
      <c r="BP59" s="16"/>
      <c r="BQ59" s="16"/>
      <c r="BR59" s="16">
        <f t="shared" ca="1" si="175"/>
        <v>3</v>
      </c>
      <c r="BS59" s="16">
        <f t="shared" ref="BS59:BS69" ca="1" si="193">COUNTIFS(BR$58:BR$69,"&gt;"&amp;BR59)+1</f>
        <v>6</v>
      </c>
      <c r="BT59" s="16" t="str">
        <f t="shared" ref="BT59:BT69" ca="1" si="194">IF(COUNTIF(BS$58:BS$69,BS59)=1,"-","Pos. "&amp;BS59&amp;" ("&amp;COUNTIF(BS$58:BS$69,BS59)&amp;")")</f>
        <v>Pos. 6 (6)</v>
      </c>
      <c r="BU59" s="16">
        <f t="shared" ca="1" si="176"/>
        <v>-1</v>
      </c>
      <c r="BV59" s="16">
        <f t="shared" ca="1" si="177"/>
        <v>6</v>
      </c>
      <c r="BW59" s="16" t="str">
        <f t="shared" ca="1" si="178"/>
        <v>Pos. 6 (3)</v>
      </c>
      <c r="BX59" s="16">
        <f t="shared" ca="1" si="179"/>
        <v>2</v>
      </c>
      <c r="BY59" s="16">
        <f t="shared" ca="1" si="180"/>
        <v>8</v>
      </c>
      <c r="BZ59" s="16" t="str">
        <f t="shared" ca="1" si="181"/>
        <v>-</v>
      </c>
      <c r="CA59" s="16" t="str">
        <f t="shared" ca="1" si="182"/>
        <v>-</v>
      </c>
      <c r="CB59" s="16">
        <f t="shared" ref="CB59:CB68" ca="1" si="195">BY59+COUNTIFS(BZ$58:BZ$69,BZ59,CA$58:CA$69,"&gt;"&amp;CA59)</f>
        <v>8</v>
      </c>
      <c r="CC59" s="16"/>
      <c r="CD59" s="16">
        <f t="shared" ca="1" si="183"/>
        <v>8</v>
      </c>
      <c r="CE59" s="16" t="str">
        <f t="shared" ref="CE59:CE69" ca="1" si="196">IF(BZ59="-","-",COUNTIF(CD$58:CD$69,"&lt;"&amp;CD59))</f>
        <v>-</v>
      </c>
      <c r="CF59" s="16">
        <f t="shared" ref="CF59:CF69" ca="1" si="197">BY59+COUNTIFS(BZ$58:BZ$69,BZ59,CE$58:CE$69,"&lt;"&amp;CE59)</f>
        <v>8</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Croacia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2</v>
      </c>
      <c r="BK60" s="16">
        <f t="shared" ca="1" si="173"/>
        <v>5</v>
      </c>
      <c r="BL60" s="16">
        <f t="shared" ca="1" si="190"/>
        <v>-3</v>
      </c>
      <c r="BM60" s="16">
        <f t="shared" ca="1" si="191"/>
        <v>10</v>
      </c>
      <c r="BN60" s="16">
        <f t="shared" ca="1" si="192"/>
        <v>10</v>
      </c>
      <c r="BO60" s="16" t="str">
        <f t="shared" si="174"/>
        <v>4C</v>
      </c>
      <c r="BP60" s="16"/>
      <c r="BQ60" s="16"/>
      <c r="BR60" s="16">
        <f t="shared" ca="1" si="175"/>
        <v>3</v>
      </c>
      <c r="BS60" s="16">
        <f t="shared" ca="1" si="193"/>
        <v>6</v>
      </c>
      <c r="BT60" s="16" t="str">
        <f t="shared" ca="1" si="194"/>
        <v>Pos. 6 (6)</v>
      </c>
      <c r="BU60" s="16">
        <f t="shared" ca="1" si="176"/>
        <v>-3</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Noruega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0</v>
      </c>
      <c r="AD61" s="51">
        <v>3</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2</v>
      </c>
      <c r="BK61" s="16">
        <f t="shared" ca="1" si="173"/>
        <v>4</v>
      </c>
      <c r="BL61" s="16">
        <f t="shared" ca="1" si="190"/>
        <v>-2</v>
      </c>
      <c r="BM61" s="16">
        <f t="shared" ca="1" si="191"/>
        <v>9</v>
      </c>
      <c r="BN61" s="16">
        <f t="shared" ca="1" si="192"/>
        <v>9</v>
      </c>
      <c r="BO61" s="16" t="str">
        <f t="shared" si="174"/>
        <v>4D</v>
      </c>
      <c r="BP61" s="16"/>
      <c r="BQ61" s="16"/>
      <c r="BR61" s="16">
        <f t="shared" ca="1" si="175"/>
        <v>3</v>
      </c>
      <c r="BS61" s="16">
        <f t="shared" ca="1" si="193"/>
        <v>6</v>
      </c>
      <c r="BT61" s="16" t="str">
        <f t="shared" ca="1" si="194"/>
        <v>Pos. 6 (6)</v>
      </c>
      <c r="BU61" s="16">
        <f t="shared" ca="1" si="176"/>
        <v>-2</v>
      </c>
      <c r="BV61" s="16">
        <f t="shared" ca="1" si="177"/>
        <v>9</v>
      </c>
      <c r="BW61" s="16" t="str">
        <f t="shared" ca="1" si="178"/>
        <v>-</v>
      </c>
      <c r="BX61" s="16" t="str">
        <f t="shared" ca="1" si="179"/>
        <v>-</v>
      </c>
      <c r="BY61" s="16">
        <f t="shared" ca="1" si="180"/>
        <v>9</v>
      </c>
      <c r="BZ61" s="16" t="str">
        <f t="shared" ca="1" si="181"/>
        <v>-</v>
      </c>
      <c r="CA61" s="16" t="str">
        <f t="shared" ca="1" si="182"/>
        <v>-</v>
      </c>
      <c r="CB61" s="16">
        <f t="shared" ca="1" si="195"/>
        <v>9</v>
      </c>
      <c r="CC61" s="16"/>
      <c r="CD61" s="16">
        <f t="shared" ca="1" si="183"/>
        <v>9</v>
      </c>
      <c r="CE61" s="16" t="str">
        <f t="shared" ca="1" si="196"/>
        <v>-</v>
      </c>
      <c r="CF61" s="16">
        <f t="shared" ca="1" si="197"/>
        <v>9</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Argelia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3</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10</v>
      </c>
      <c r="AS62" s="36">
        <f t="shared" ca="1" si="215"/>
        <v>2</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3</v>
      </c>
      <c r="BK62" s="16">
        <f t="shared" ca="1" si="173"/>
        <v>4</v>
      </c>
      <c r="BL62" s="16">
        <f t="shared" ca="1" si="190"/>
        <v>-1</v>
      </c>
      <c r="BM62" s="16">
        <f t="shared" ca="1" si="191"/>
        <v>7</v>
      </c>
      <c r="BN62" s="16">
        <f t="shared" ca="1" si="192"/>
        <v>7</v>
      </c>
      <c r="BO62" s="16" t="str">
        <f t="shared" si="174"/>
        <v>4E</v>
      </c>
      <c r="BP62" s="16"/>
      <c r="BQ62" s="16"/>
      <c r="BR62" s="16">
        <f t="shared" ca="1" si="175"/>
        <v>3</v>
      </c>
      <c r="BS62" s="16">
        <f t="shared" ca="1" si="193"/>
        <v>6</v>
      </c>
      <c r="BT62" s="16" t="str">
        <f t="shared" ca="1" si="194"/>
        <v>Pos. 6 (6)</v>
      </c>
      <c r="BU62" s="16">
        <f t="shared" ca="1" si="176"/>
        <v>-1</v>
      </c>
      <c r="BV62" s="16">
        <f t="shared" ca="1" si="177"/>
        <v>6</v>
      </c>
      <c r="BW62" s="16" t="str">
        <f t="shared" ca="1" si="178"/>
        <v>Pos. 6 (3)</v>
      </c>
      <c r="BX62" s="16">
        <f t="shared" ca="1" si="179"/>
        <v>3</v>
      </c>
      <c r="BY62" s="16">
        <f t="shared" ca="1" si="180"/>
        <v>7</v>
      </c>
      <c r="BZ62" s="16" t="str">
        <f t="shared" ca="1" si="181"/>
        <v>-</v>
      </c>
      <c r="CA62" s="16" t="str">
        <f t="shared" ca="1" si="182"/>
        <v>-</v>
      </c>
      <c r="CB62" s="16">
        <f t="shared" ca="1" si="195"/>
        <v>7</v>
      </c>
      <c r="CC62" s="16"/>
      <c r="CD62" s="16">
        <f t="shared" ca="1" si="183"/>
        <v>7</v>
      </c>
      <c r="CE62" s="16" t="str">
        <f t="shared" ca="1" si="196"/>
        <v>-</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RD Congo</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2</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Países Bajos</v>
      </c>
      <c r="BE63" s="16">
        <f t="shared" ca="1" si="188"/>
        <v>4</v>
      </c>
      <c r="BF63" s="16">
        <f t="shared" ca="1" si="189"/>
        <v>3</v>
      </c>
      <c r="BG63" s="16">
        <f t="shared" ca="1" si="169"/>
        <v>1</v>
      </c>
      <c r="BH63" s="16">
        <f t="shared" ca="1" si="170"/>
        <v>1</v>
      </c>
      <c r="BI63" s="16">
        <f t="shared" ca="1" si="171"/>
        <v>1</v>
      </c>
      <c r="BJ63" s="16">
        <f t="shared" ca="1" si="172"/>
        <v>4</v>
      </c>
      <c r="BK63" s="16">
        <f t="shared" ca="1" si="173"/>
        <v>3</v>
      </c>
      <c r="BL63" s="16">
        <f t="shared" ca="1" si="190"/>
        <v>1</v>
      </c>
      <c r="BM63" s="16">
        <f t="shared" ca="1" si="191"/>
        <v>1</v>
      </c>
      <c r="BN63" s="16">
        <f t="shared" ca="1" si="192"/>
        <v>1</v>
      </c>
      <c r="BO63" s="16" t="str">
        <f t="shared" si="174"/>
        <v>4F</v>
      </c>
      <c r="BP63" s="16"/>
      <c r="BQ63" s="16"/>
      <c r="BR63" s="16">
        <f t="shared" ca="1" si="175"/>
        <v>4</v>
      </c>
      <c r="BS63" s="16">
        <f t="shared" ca="1" si="193"/>
        <v>1</v>
      </c>
      <c r="BT63" s="16" t="str">
        <f t="shared" ca="1" si="194"/>
        <v>Pos. 1 (5)</v>
      </c>
      <c r="BU63" s="16">
        <f t="shared" ca="1" si="176"/>
        <v>1</v>
      </c>
      <c r="BV63" s="16">
        <f t="shared" ca="1" si="177"/>
        <v>1</v>
      </c>
      <c r="BW63" s="16" t="str">
        <f t="shared" ca="1" si="178"/>
        <v>-</v>
      </c>
      <c r="BX63" s="16" t="str">
        <f t="shared" ca="1" si="179"/>
        <v>-</v>
      </c>
      <c r="BY63" s="16">
        <f t="shared" ca="1" si="180"/>
        <v>1</v>
      </c>
      <c r="BZ63" s="16" t="str">
        <f t="shared" ca="1" si="181"/>
        <v>-</v>
      </c>
      <c r="CA63" s="16" t="str">
        <f t="shared" ca="1" si="182"/>
        <v>-</v>
      </c>
      <c r="CB63" s="16">
        <f t="shared" ca="1" si="195"/>
        <v>1</v>
      </c>
      <c r="CC63" s="16"/>
      <c r="CD63" s="16">
        <f t="shared" ca="1" si="183"/>
        <v>1</v>
      </c>
      <c r="CE63" s="16" t="str">
        <f t="shared" ca="1" si="196"/>
        <v>-</v>
      </c>
      <c r="CF63" s="16">
        <f t="shared" ca="1" si="197"/>
        <v>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Irán</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0</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6</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4</v>
      </c>
      <c r="BK64" s="16">
        <f t="shared" ca="1" si="173"/>
        <v>5</v>
      </c>
      <c r="BL64" s="16">
        <f t="shared" ca="1" si="190"/>
        <v>-1</v>
      </c>
      <c r="BM64" s="16">
        <f t="shared" ca="1" si="191"/>
        <v>6</v>
      </c>
      <c r="BN64" s="16">
        <f t="shared" ca="1" si="192"/>
        <v>6</v>
      </c>
      <c r="BO64" s="16" t="str">
        <f t="shared" si="174"/>
        <v>4G</v>
      </c>
      <c r="BP64" s="16"/>
      <c r="BQ64" s="16"/>
      <c r="BR64" s="16">
        <f t="shared" ca="1" si="175"/>
        <v>3</v>
      </c>
      <c r="BS64" s="16">
        <f t="shared" ca="1" si="193"/>
        <v>6</v>
      </c>
      <c r="BT64" s="16" t="str">
        <f t="shared" ca="1" si="194"/>
        <v>Pos. 6 (6)</v>
      </c>
      <c r="BU64" s="16">
        <f t="shared" ca="1" si="176"/>
        <v>-1</v>
      </c>
      <c r="BV64" s="16">
        <f t="shared" ca="1" si="177"/>
        <v>6</v>
      </c>
      <c r="BW64" s="16" t="str">
        <f t="shared" ca="1" si="178"/>
        <v>Pos. 6 (3)</v>
      </c>
      <c r="BX64" s="16">
        <f t="shared" ca="1" si="179"/>
        <v>4</v>
      </c>
      <c r="BY64" s="16">
        <f t="shared" ca="1" si="180"/>
        <v>6</v>
      </c>
      <c r="BZ64" s="16" t="str">
        <f t="shared" ca="1" si="181"/>
        <v>-</v>
      </c>
      <c r="CA64" s="16" t="str">
        <f t="shared" ca="1" si="182"/>
        <v>-</v>
      </c>
      <c r="CB64" s="16">
        <f t="shared" ca="1" si="195"/>
        <v>6</v>
      </c>
      <c r="CC64" s="16"/>
      <c r="CD64" s="16">
        <f t="shared" ca="1" si="183"/>
        <v>6</v>
      </c>
      <c r="CE64" s="16" t="str">
        <f t="shared" ca="1" si="196"/>
        <v>-</v>
      </c>
      <c r="CF64" s="16">
        <f t="shared" ca="1" si="197"/>
        <v>6</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Ecuador</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3</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7</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6</v>
      </c>
      <c r="BL65" s="16">
        <f t="shared" ca="1" si="190"/>
        <v>-4</v>
      </c>
      <c r="BM65" s="16">
        <f t="shared" ca="1" si="191"/>
        <v>11</v>
      </c>
      <c r="BN65" s="16">
        <f t="shared" ca="1" si="192"/>
        <v>11</v>
      </c>
      <c r="BO65" s="16" t="str">
        <f t="shared" si="174"/>
        <v>4H</v>
      </c>
      <c r="BP65" s="16"/>
      <c r="BQ65" s="16"/>
      <c r="BR65" s="16">
        <f t="shared" ca="1" si="175"/>
        <v>3</v>
      </c>
      <c r="BS65" s="16">
        <f t="shared" ca="1" si="193"/>
        <v>6</v>
      </c>
      <c r="BT65" s="16" t="str">
        <f t="shared" ca="1" si="194"/>
        <v>Pos. 6 (6)</v>
      </c>
      <c r="BU65" s="16">
        <f t="shared" ca="1" si="176"/>
        <v>-4</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Bosnia y Herzegovina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3</v>
      </c>
      <c r="BK66" s="16">
        <f t="shared" ca="1" si="173"/>
        <v>3</v>
      </c>
      <c r="BL66" s="16">
        <f t="shared" ca="1" si="190"/>
        <v>0</v>
      </c>
      <c r="BM66" s="16">
        <f t="shared" ca="1" si="191"/>
        <v>3</v>
      </c>
      <c r="BN66" s="16">
        <f t="shared" ca="1" si="192"/>
        <v>3</v>
      </c>
      <c r="BO66" s="16" t="str">
        <f t="shared" si="174"/>
        <v>4I</v>
      </c>
      <c r="BP66" s="16"/>
      <c r="BQ66" s="16"/>
      <c r="BR66" s="16">
        <f t="shared" ca="1" si="175"/>
        <v>4</v>
      </c>
      <c r="BS66" s="16">
        <f t="shared" ca="1" si="193"/>
        <v>1</v>
      </c>
      <c r="BT66" s="16" t="str">
        <f t="shared" ca="1" si="194"/>
        <v>Pos. 1 (5)</v>
      </c>
      <c r="BU66" s="16">
        <f t="shared" ca="1" si="176"/>
        <v>0</v>
      </c>
      <c r="BV66" s="16">
        <f t="shared" ca="1" si="177"/>
        <v>2</v>
      </c>
      <c r="BW66" s="16" t="str">
        <f t="shared" ca="1" si="178"/>
        <v>Pos. 2 (2)</v>
      </c>
      <c r="BX66" s="16">
        <f t="shared" ca="1" si="179"/>
        <v>3</v>
      </c>
      <c r="BY66" s="16">
        <f t="shared" ca="1" si="180"/>
        <v>3</v>
      </c>
      <c r="BZ66" s="16" t="str">
        <f t="shared" ca="1" si="181"/>
        <v>-</v>
      </c>
      <c r="CA66" s="16" t="str">
        <f t="shared" ca="1" si="182"/>
        <v>-</v>
      </c>
      <c r="CB66" s="16">
        <f t="shared" ca="1" si="195"/>
        <v>3</v>
      </c>
      <c r="CC66" s="16"/>
      <c r="CD66" s="16">
        <f t="shared" ca="1" si="183"/>
        <v>3</v>
      </c>
      <c r="CE66" s="16" t="str">
        <f t="shared" ca="1" si="196"/>
        <v>-</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Paraguay</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3</v>
      </c>
      <c r="BL67" s="16">
        <f t="shared" ca="1" si="190"/>
        <v>-1</v>
      </c>
      <c r="BM67" s="16">
        <f t="shared" ca="1" si="191"/>
        <v>4</v>
      </c>
      <c r="BN67" s="16">
        <f t="shared" ca="1" si="192"/>
        <v>4</v>
      </c>
      <c r="BO67" s="16" t="str">
        <f t="shared" si="174"/>
        <v>4J</v>
      </c>
      <c r="BP67" s="16"/>
      <c r="BQ67" s="16"/>
      <c r="BR67" s="16">
        <f t="shared" ca="1" si="175"/>
        <v>4</v>
      </c>
      <c r="BS67" s="16">
        <f t="shared" ca="1" si="193"/>
        <v>1</v>
      </c>
      <c r="BT67" s="16" t="str">
        <f t="shared" ca="1" si="194"/>
        <v>Pos. 1 (5)</v>
      </c>
      <c r="BU67" s="16">
        <f t="shared" ca="1" si="176"/>
        <v>-1</v>
      </c>
      <c r="BV67" s="16">
        <f t="shared" ca="1" si="177"/>
        <v>4</v>
      </c>
      <c r="BW67" s="16" t="str">
        <f t="shared" ca="1" si="178"/>
        <v>-</v>
      </c>
      <c r="BX67" s="16" t="str">
        <f t="shared" ca="1" si="179"/>
        <v>-</v>
      </c>
      <c r="BY67" s="16">
        <f t="shared" ca="1" si="180"/>
        <v>4</v>
      </c>
      <c r="BZ67" s="16" t="str">
        <f t="shared" ca="1" si="181"/>
        <v>-</v>
      </c>
      <c r="CA67" s="16" t="str">
        <f t="shared" ca="1" si="182"/>
        <v>-</v>
      </c>
      <c r="CB67" s="16">
        <f t="shared" ca="1" si="195"/>
        <v>4</v>
      </c>
      <c r="CC67" s="16"/>
      <c r="CD67" s="16">
        <f t="shared" ca="1" si="183"/>
        <v>4</v>
      </c>
      <c r="CE67" s="16" t="str">
        <f t="shared" ca="1" si="196"/>
        <v>-</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Escocia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str" cm="1">
        <f t="array" aca="1" ref="AB68" ca="1">Ver_flag_local</f>
        <v/>
      </c>
      <c r="AC68" s="50">
        <v>2</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3</v>
      </c>
      <c r="BK68" s="16">
        <f t="shared" ca="1" si="173"/>
        <v>5</v>
      </c>
      <c r="BL68" s="16">
        <f t="shared" ca="1" si="190"/>
        <v>-2</v>
      </c>
      <c r="BM68" s="16">
        <f t="shared" ca="1" si="191"/>
        <v>5</v>
      </c>
      <c r="BN68" s="16">
        <f t="shared" ca="1" si="192"/>
        <v>5</v>
      </c>
      <c r="BO68" s="16" t="str">
        <f t="shared" si="174"/>
        <v>4K</v>
      </c>
      <c r="BP68" s="16"/>
      <c r="BQ68" s="16"/>
      <c r="BR68" s="16">
        <f t="shared" ca="1" si="175"/>
        <v>4</v>
      </c>
      <c r="BS68" s="16">
        <f t="shared" ca="1" si="193"/>
        <v>1</v>
      </c>
      <c r="BT68" s="16" t="str">
        <f t="shared" ca="1" si="194"/>
        <v>Pos. 1 (5)</v>
      </c>
      <c r="BU68" s="16">
        <f t="shared" ca="1" si="176"/>
        <v>-2</v>
      </c>
      <c r="BV68" s="16">
        <f t="shared" ca="1" si="177"/>
        <v>5</v>
      </c>
      <c r="BW68" s="16" t="str">
        <f t="shared" ca="1" si="178"/>
        <v>-</v>
      </c>
      <c r="BX68" s="16" t="str">
        <f t="shared" ca="1" si="179"/>
        <v>-</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Croacia</v>
      </c>
      <c r="BE69" s="16">
        <f t="shared" ca="1" si="188"/>
        <v>4</v>
      </c>
      <c r="BF69" s="16">
        <f t="shared" ca="1" si="189"/>
        <v>3</v>
      </c>
      <c r="BG69" s="16">
        <f t="shared" ca="1" si="169"/>
        <v>1</v>
      </c>
      <c r="BH69" s="16">
        <f t="shared" ca="1" si="170"/>
        <v>1</v>
      </c>
      <c r="BI69" s="16">
        <f t="shared" ca="1" si="171"/>
        <v>1</v>
      </c>
      <c r="BJ69" s="16">
        <f t="shared" ca="1" si="172"/>
        <v>4</v>
      </c>
      <c r="BK69" s="16">
        <f t="shared" ca="1" si="173"/>
        <v>4</v>
      </c>
      <c r="BL69" s="16">
        <f t="shared" ca="1" si="190"/>
        <v>0</v>
      </c>
      <c r="BM69" s="16">
        <f t="shared" ca="1" si="191"/>
        <v>2</v>
      </c>
      <c r="BN69" s="16">
        <f t="shared" ca="1" si="192"/>
        <v>2</v>
      </c>
      <c r="BO69" s="16" t="str">
        <f t="shared" si="174"/>
        <v>4L</v>
      </c>
      <c r="BP69" s="16"/>
      <c r="BQ69" s="16"/>
      <c r="BR69" s="16">
        <f t="shared" ca="1" si="175"/>
        <v>4</v>
      </c>
      <c r="BS69" s="16">
        <f t="shared" ca="1" si="193"/>
        <v>1</v>
      </c>
      <c r="BT69" s="16" t="str">
        <f t="shared" ca="1" si="194"/>
        <v>Pos. 1 (5)</v>
      </c>
      <c r="BU69" s="16">
        <f t="shared" ca="1" si="176"/>
        <v>0</v>
      </c>
      <c r="BV69" s="16">
        <f t="shared" ca="1" si="177"/>
        <v>2</v>
      </c>
      <c r="BW69" s="16" t="str">
        <f t="shared" ca="1" si="178"/>
        <v>Pos. 2 (2)</v>
      </c>
      <c r="BX69" s="16">
        <f t="shared" ca="1" si="179"/>
        <v>4</v>
      </c>
      <c r="BY69" s="16">
        <f t="shared" ca="1" si="180"/>
        <v>2</v>
      </c>
      <c r="BZ69" s="16" t="str">
        <f t="shared" ca="1" si="181"/>
        <v>-</v>
      </c>
      <c r="CA69" s="16" t="str">
        <f t="shared" ca="1" si="182"/>
        <v>-</v>
      </c>
      <c r="CB69" s="16">
        <f ca="1">BY69+COUNTIFS(BZ$58:BZ$69,BZ69,CA$58:CA$69,"&gt;"&amp;CA69)</f>
        <v>2</v>
      </c>
      <c r="CC69" s="16"/>
      <c r="CD69" s="16">
        <f t="shared" ca="1" si="183"/>
        <v>2</v>
      </c>
      <c r="CE69" s="16" t="str">
        <f t="shared" ca="1" si="196"/>
        <v>-</v>
      </c>
      <c r="CF69" s="16">
        <f t="shared" ca="1" si="197"/>
        <v>2</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República Checa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4</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1</v>
      </c>
      <c r="AT70" s="41">
        <f t="shared" ca="1" si="233"/>
        <v>7</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str" cm="1">
        <f t="array" aca="1" ref="AB71" ca="1">Ver_flag_local</f>
        <v/>
      </c>
      <c r="AC71" s="50">
        <v>1</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4</v>
      </c>
      <c r="AS71" s="39">
        <f t="shared" ca="1" si="233"/>
        <v>3</v>
      </c>
      <c r="AT71" s="43">
        <f t="shared" ca="1" si="233"/>
        <v>1</v>
      </c>
      <c r="AU71" s="330">
        <f ca="1">INDEX($DL$6:$DL$53,MATCH(AI71,$DP$6:$DP$53,0))</f>
        <v>1</v>
      </c>
      <c r="AV71" s="182" t="str">
        <f ca="1">INDEX($BD$6:$BD$53,MATCH(AI71,$BM$6:$BM$53,0))</f>
        <v>Senegal</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0</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3</v>
      </c>
      <c r="AS72" s="39">
        <f t="shared" ca="1" si="233"/>
        <v>3</v>
      </c>
      <c r="AT72" s="43">
        <f t="shared" ca="1" si="233"/>
        <v>0</v>
      </c>
      <c r="AU72" s="330">
        <f ca="1">INDEX($DL$6:$DL$53,MATCH(AI72,$DP$6:$DP$53,0))</f>
        <v>1</v>
      </c>
      <c r="AV72" s="182" t="str">
        <f ca="1">INDEX($BD$6:$BD$53,MATCH(AI72,$BM$6:$BM$53,0))</f>
        <v>Noruega</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2</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3</v>
      </c>
      <c r="AD76" s="51">
        <v>1</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1</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2</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2</v>
      </c>
      <c r="AS79" s="39">
        <f t="shared" ca="1" si="251"/>
        <v>2</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0</v>
      </c>
      <c r="AD80" s="51">
        <v>0</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3</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5</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P.2 (2)</v>
      </c>
      <c r="G84" s="16"/>
      <c r="H84" s="16" t="str">
        <f t="shared" ref="H84:H89" ca="1" si="256">IF(D84="Pendiente","-",INDEX($BZ$6:$BZ$53,MATCH($AA84,$BD$6:$BD$53,0)))</f>
        <v>-</v>
      </c>
      <c r="I84" s="16" t="str">
        <f t="shared" ref="I84:I89" ca="1" si="257">IF(D84="Pendiente","-",INDEX($BZ$6:$BZ$53,MATCH($AF84,$BD$6:$BD$53,0)))</f>
        <v>P.2 (2)</v>
      </c>
      <c r="J84" s="16"/>
      <c r="K84" s="16" t="str">
        <f t="shared" ref="K84:K89" ca="1" si="258">IF(D84="Pendiente","-",INDEX($CE$6:$CE$53,MATCH($AA84,$BD$6:$BD$53,0)))</f>
        <v>-</v>
      </c>
      <c r="L84" s="16" t="str">
        <f t="shared" ref="L84:L89" ca="1" si="259">IF(D84="Pendiente","-",INDEX($CE$6:$CE$53,MATCH($AF84,$BD$6:$BD$53,0)))</f>
        <v>P.2 (2)</v>
      </c>
      <c r="M84" s="16"/>
      <c r="N84" s="16" t="str">
        <f t="shared" ref="N84:N89" ca="1" si="260">IF(D84="Pendiente","-",INDEX($CH$6:$CH$53,MATCH($AA84,$BD$6:$BD$53,0)))</f>
        <v>-</v>
      </c>
      <c r="O84" s="16" t="str">
        <f t="shared" ref="O84:O89" ca="1" si="261">IF(D84="Pendiente","-",INDEX($CH$6:$CH$53,MATCH($AF84,$BD$6:$BD$53,0)))</f>
        <v>P.2 (2)</v>
      </c>
      <c r="P84" s="16"/>
      <c r="Q84" s="16" t="str">
        <f t="shared" ref="Q84:Q89" ca="1" si="262">IF(D84="Pendiente","-",INDEX($CN$6:$CN$53,MATCH($AA84,$BD$6:$BD$53,0)))</f>
        <v>-</v>
      </c>
      <c r="R84" s="16" t="str">
        <f t="shared" ref="R84:R89" ca="1" si="263">IF(D84="Pendiente","-",INDEX($CN$6:$CN$53,MATCH($AF84,$BD$6:$BD$53,0)))</f>
        <v>P.2 (2)</v>
      </c>
      <c r="S84" s="16"/>
      <c r="T84" s="16" t="str">
        <f t="shared" ref="T84:T89" ca="1" si="264">IF(D84="Pendiente","-",INDEX($CS$6:$CS$53,MATCH($AA84,$BD$6:$BD$53,0)))</f>
        <v>-</v>
      </c>
      <c r="U84" s="16" t="str">
        <f t="shared" ref="U84:U89" ca="1" si="265">IF(D84="Pendiente","-",INDEX($CS$6:$CS$53,MATCH($AF84,$BD$6:$BD$53,0)))</f>
        <v>P.2 (2)</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4</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P.2 (2)</v>
      </c>
      <c r="G85" s="16"/>
      <c r="H85" s="16" t="str">
        <f t="shared" ca="1" si="256"/>
        <v>-</v>
      </c>
      <c r="I85" s="16" t="str">
        <f t="shared" ca="1" si="257"/>
        <v>P.2 (2)</v>
      </c>
      <c r="J85" s="16"/>
      <c r="K85" s="16" t="str">
        <f t="shared" ca="1" si="258"/>
        <v>-</v>
      </c>
      <c r="L85" s="16" t="str">
        <f t="shared" ca="1" si="259"/>
        <v>P.2 (2)</v>
      </c>
      <c r="M85" s="16"/>
      <c r="N85" s="16" t="str">
        <f t="shared" ca="1" si="260"/>
        <v>-</v>
      </c>
      <c r="O85" s="16" t="str">
        <f t="shared" ca="1" si="261"/>
        <v>P.2 (2)</v>
      </c>
      <c r="P85" s="16"/>
      <c r="Q85" s="16" t="str">
        <f t="shared" ca="1" si="262"/>
        <v>-</v>
      </c>
      <c r="R85" s="16" t="str">
        <f t="shared" ca="1" si="263"/>
        <v>P.2 (2)</v>
      </c>
      <c r="S85" s="16"/>
      <c r="T85" s="16" t="str">
        <f t="shared" ca="1" si="264"/>
        <v>-</v>
      </c>
      <c r="U85" s="16" t="str">
        <f t="shared" ca="1" si="265"/>
        <v>P.2 (2)</v>
      </c>
      <c r="V85" s="17"/>
      <c r="W85" s="656"/>
      <c r="X85" s="24">
        <f ca="1">Horarios!C85</f>
        <v>46191.166666666664</v>
      </c>
      <c r="Y85" s="25">
        <f ca="1">Horarios!C85</f>
        <v>46191.166666666664</v>
      </c>
      <c r="Z85" s="26" t="str">
        <f>$Z$4</f>
        <v>J1</v>
      </c>
      <c r="AA85" s="27" t="str">
        <f ca="1">A87</f>
        <v>Uzbekistán</v>
      </c>
      <c r="AB85" s="49" t="str" cm="1">
        <f t="array" aca="1" ref="AB85" ca="1">Ver_flag_local</f>
        <v/>
      </c>
      <c r="AC85" s="50">
        <v>1</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9</v>
      </c>
      <c r="AS86" s="36">
        <f t="shared" ca="1" si="269"/>
        <v>2</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Empate</v>
      </c>
      <c r="E87" s="16" t="str">
        <f t="shared" ca="1" si="254"/>
        <v>P.2 (2)</v>
      </c>
      <c r="F87" s="16" t="str">
        <f t="shared" ca="1" si="255"/>
        <v>P.2 (2)</v>
      </c>
      <c r="G87" s="16"/>
      <c r="H87" s="16" t="str">
        <f t="shared" ca="1" si="256"/>
        <v>P.2 (2)</v>
      </c>
      <c r="I87" s="16" t="str">
        <f t="shared" ca="1" si="257"/>
        <v>P.2 (2)</v>
      </c>
      <c r="J87" s="16"/>
      <c r="K87" s="16" t="str">
        <f t="shared" ca="1" si="258"/>
        <v>P.2 (2)</v>
      </c>
      <c r="L87" s="16" t="str">
        <f t="shared" ca="1" si="259"/>
        <v>P.2 (2)</v>
      </c>
      <c r="M87" s="16"/>
      <c r="N87" s="16" t="str">
        <f t="shared" ca="1" si="260"/>
        <v>P.2 (2)</v>
      </c>
      <c r="O87" s="16" t="str">
        <f t="shared" ca="1" si="261"/>
        <v>P.2 (2)</v>
      </c>
      <c r="P87" s="16"/>
      <c r="Q87" s="16" t="str">
        <f t="shared" ca="1" si="262"/>
        <v>P.2 (2)</v>
      </c>
      <c r="R87" s="16" t="str">
        <f t="shared" ca="1" si="263"/>
        <v>P.2 (2)</v>
      </c>
      <c r="S87" s="16"/>
      <c r="T87" s="16" t="str">
        <f t="shared" ca="1" si="264"/>
        <v>P.2 (2)</v>
      </c>
      <c r="U87" s="16" t="str">
        <f t="shared" ca="1" si="265"/>
        <v>P.2 (2)</v>
      </c>
      <c r="V87" s="17"/>
      <c r="W87" s="656"/>
      <c r="X87" s="24">
        <f ca="1">Horarios!C87</f>
        <v>46197.166666666664</v>
      </c>
      <c r="Y87" s="25">
        <f ca="1">Horarios!C87</f>
        <v>46197.166666666664</v>
      </c>
      <c r="Z87" s="26" t="str">
        <f>$Z$6</f>
        <v>J2</v>
      </c>
      <c r="AA87" s="27" t="str">
        <f ca="1">A88</f>
        <v>Colombia</v>
      </c>
      <c r="AB87" s="49" t="str" cm="1">
        <f t="array" aca="1" ref="AB87" ca="1">Ver_flag_local</f>
        <v/>
      </c>
      <c r="AC87" s="50">
        <v>1</v>
      </c>
      <c r="AD87" s="51">
        <v>1</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4</v>
      </c>
      <c r="AN87" s="39">
        <f t="shared" ca="1" si="269"/>
        <v>3</v>
      </c>
      <c r="AO87" s="39">
        <f t="shared" ca="1" si="269"/>
        <v>1</v>
      </c>
      <c r="AP87" s="39">
        <f t="shared" ca="1" si="269"/>
        <v>1</v>
      </c>
      <c r="AQ87" s="39">
        <f t="shared" ca="1" si="269"/>
        <v>1</v>
      </c>
      <c r="AR87" s="39">
        <f t="shared" ca="1" si="269"/>
        <v>4</v>
      </c>
      <c r="AS87" s="39">
        <f t="shared" ca="1" si="269"/>
        <v>4</v>
      </c>
      <c r="AT87" s="43">
        <f t="shared" ca="1" si="269"/>
        <v>0</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P.2 (2)</v>
      </c>
      <c r="F88" s="16" t="str">
        <f t="shared" ca="1" si="255"/>
        <v>-</v>
      </c>
      <c r="G88" s="16"/>
      <c r="H88" s="16" t="str">
        <f t="shared" ca="1" si="256"/>
        <v>P.2 (2)</v>
      </c>
      <c r="I88" s="16" t="str">
        <f t="shared" ca="1" si="257"/>
        <v>-</v>
      </c>
      <c r="J88" s="16"/>
      <c r="K88" s="16" t="str">
        <f t="shared" ca="1" si="258"/>
        <v>P.2 (2)</v>
      </c>
      <c r="L88" s="16" t="str">
        <f t="shared" ca="1" si="259"/>
        <v>-</v>
      </c>
      <c r="M88" s="16"/>
      <c r="N88" s="16" t="str">
        <f t="shared" ca="1" si="260"/>
        <v>P.2 (2)</v>
      </c>
      <c r="O88" s="16" t="str">
        <f t="shared" ca="1" si="261"/>
        <v>-</v>
      </c>
      <c r="P88" s="16"/>
      <c r="Q88" s="16" t="str">
        <f t="shared" ca="1" si="262"/>
        <v>P.2 (2)</v>
      </c>
      <c r="R88" s="16" t="str">
        <f t="shared" ca="1" si="263"/>
        <v>-</v>
      </c>
      <c r="S88" s="16"/>
      <c r="T88" s="16" t="str">
        <f t="shared" ca="1" si="264"/>
        <v>P.2 (2)</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3</v>
      </c>
      <c r="AS88" s="39">
        <f t="shared" ca="1" si="269"/>
        <v>5</v>
      </c>
      <c r="AT88" s="43">
        <f t="shared" ca="1" si="269"/>
        <v>-2</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P.2 (2)</v>
      </c>
      <c r="F89" s="16" t="str">
        <f t="shared" ca="1" si="255"/>
        <v>-</v>
      </c>
      <c r="G89" s="16"/>
      <c r="H89" s="16" t="str">
        <f t="shared" ca="1" si="256"/>
        <v>P.2 (2)</v>
      </c>
      <c r="I89" s="16" t="str">
        <f t="shared" ca="1" si="257"/>
        <v>-</v>
      </c>
      <c r="J89" s="16"/>
      <c r="K89" s="16" t="str">
        <f t="shared" ca="1" si="258"/>
        <v>P.2 (2)</v>
      </c>
      <c r="L89" s="16" t="str">
        <f t="shared" ca="1" si="259"/>
        <v>-</v>
      </c>
      <c r="M89" s="16"/>
      <c r="N89" s="16" t="str">
        <f t="shared" ca="1" si="260"/>
        <v>P.2 (2)</v>
      </c>
      <c r="O89" s="16" t="str">
        <f t="shared" ca="1" si="261"/>
        <v>-</v>
      </c>
      <c r="P89" s="16"/>
      <c r="Q89" s="16" t="str">
        <f t="shared" ca="1" si="262"/>
        <v>P.2 (2)</v>
      </c>
      <c r="R89" s="16" t="str">
        <f t="shared" ca="1" si="263"/>
        <v>-</v>
      </c>
      <c r="S89" s="16"/>
      <c r="T89" s="16" t="str">
        <f t="shared" ca="1" si="264"/>
        <v>P.2 (2)</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1</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6</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1</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3</v>
      </c>
      <c r="AD93" s="51">
        <v>1</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2</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52"/>
      <c r="X95" s="24">
        <f ca="1">Horarios!C95</f>
        <v>46197.041666666664</v>
      </c>
      <c r="Y95" s="25">
        <f ca="1">Horarios!C95</f>
        <v>46197.041666666664</v>
      </c>
      <c r="Z95" s="26" t="str">
        <f>$Z$6</f>
        <v>J2</v>
      </c>
      <c r="AA95" s="27" t="str">
        <f ca="1">A96</f>
        <v>Panamá</v>
      </c>
      <c r="AB95" s="49" t="str" cm="1">
        <f t="array" aca="1" ref="AB95" ca="1">Ver_flag_local</f>
        <v/>
      </c>
      <c r="AC95" s="50">
        <v>0</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Ghana</v>
      </c>
      <c r="AM95" s="38">
        <f t="shared" ca="1" si="287"/>
        <v>4</v>
      </c>
      <c r="AN95" s="39">
        <f t="shared" ca="1" si="287"/>
        <v>3</v>
      </c>
      <c r="AO95" s="39">
        <f t="shared" ca="1" si="287"/>
        <v>1</v>
      </c>
      <c r="AP95" s="39">
        <f t="shared" ca="1" si="287"/>
        <v>1</v>
      </c>
      <c r="AQ95" s="39">
        <f t="shared" ca="1" si="287"/>
        <v>1</v>
      </c>
      <c r="AR95" s="39">
        <f t="shared" ca="1" si="287"/>
        <v>5</v>
      </c>
      <c r="AS95" s="39">
        <f t="shared" ca="1" si="287"/>
        <v>5</v>
      </c>
      <c r="AT95" s="43">
        <f t="shared" ca="1" si="287"/>
        <v>0</v>
      </c>
      <c r="AU95" s="330">
        <f ca="1">INDEX($DL$6:$DL$53,MATCH(AI95,$DP$6:$DP$53,0))</f>
        <v>1</v>
      </c>
      <c r="AV95" s="182" t="str">
        <f ca="1">INDEX($BD$6:$BD$53,MATCH(AI95,$BM$6:$BM$53,0))</f>
        <v>Ghana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1</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Croacia</v>
      </c>
      <c r="AM96" s="38">
        <f t="shared" ca="1" si="287"/>
        <v>4</v>
      </c>
      <c r="AN96" s="39">
        <f t="shared" ca="1" si="287"/>
        <v>3</v>
      </c>
      <c r="AO96" s="39">
        <f t="shared" ca="1" si="287"/>
        <v>1</v>
      </c>
      <c r="AP96" s="39">
        <f t="shared" ca="1" si="287"/>
        <v>1</v>
      </c>
      <c r="AQ96" s="39">
        <f t="shared" ca="1" si="287"/>
        <v>1</v>
      </c>
      <c r="AR96" s="39">
        <f t="shared" ca="1" si="287"/>
        <v>4</v>
      </c>
      <c r="AS96" s="39">
        <f t="shared" ca="1" si="287"/>
        <v>4</v>
      </c>
      <c r="AT96" s="43">
        <f t="shared" ca="1" si="287"/>
        <v>0</v>
      </c>
      <c r="AU96" s="330">
        <f ca="1">INDEX($DL$6:$DL$53,MATCH(AI96,$DP$6:$DP$53,0))</f>
        <v>1</v>
      </c>
      <c r="AV96" s="182" t="str">
        <f ca="1">INDEX($BD$6:$BD$53,MATCH(AI96,$BM$6:$BM$53,0))</f>
        <v>Croacia</v>
      </c>
      <c r="AW96" s="210"/>
      <c r="AX96" s="171"/>
      <c r="AY96" s="201" t="str">
        <f ca="1">+A95</f>
        <v>Ghana</v>
      </c>
      <c r="AZ96" s="202"/>
      <c r="BA96" s="176"/>
    </row>
    <row r="97" spans="1:62" ht="15.9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53"/>
      <c r="X97" s="28">
        <f ca="1">Horarios!C97</f>
        <v>46200.958333333336</v>
      </c>
      <c r="Y97" s="29">
        <f ca="1">Horarios!C97</f>
        <v>46200.958333333336</v>
      </c>
      <c r="Z97" s="30" t="str">
        <f>$Z$8</f>
        <v>J3</v>
      </c>
      <c r="AA97" s="31" t="str">
        <f ca="1">A94</f>
        <v>Croacia</v>
      </c>
      <c r="AB97" s="52" t="str" cm="1">
        <f t="array" aca="1" ref="AB97" ca="1">Ver_flag_local</f>
        <v/>
      </c>
      <c r="AC97" s="53">
        <v>2</v>
      </c>
      <c r="AD97" s="54">
        <v>2</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7</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México</v>
      </c>
      <c r="AB101" s="89"/>
      <c r="AC101" s="51">
        <v>1</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BEFGIJKL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Países Bajos</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1</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Países Bajos</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Países Bajos</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Suecia</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1</v>
      </c>
      <c r="AD103" s="92">
        <v>0</v>
      </c>
      <c r="AE103" s="89"/>
      <c r="AF103" s="91" t="str">
        <f t="shared" ca="1" si="293"/>
        <v>Países Bajos</v>
      </c>
      <c r="AG103" s="327">
        <f t="shared" ca="1" si="294"/>
        <v>1</v>
      </c>
      <c r="AH103" s="195">
        <v>74</v>
      </c>
      <c r="AI103" s="182">
        <v>2</v>
      </c>
      <c r="AJ103" s="42">
        <v>2</v>
      </c>
      <c r="AK103" s="602" t="str" cm="1">
        <f t="array" aca="1" ref="AK103" ca="1">Ver_flag_visit</f>
        <v/>
      </c>
      <c r="AL103" s="85" t="str">
        <f t="shared" ca="1" si="297"/>
        <v>Croacia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Croacia</v>
      </c>
      <c r="AW103" s="215"/>
      <c r="AX103" s="170"/>
      <c r="AY103" s="276"/>
      <c r="AZ103" s="279" t="str">
        <f t="shared" ref="AZ103:AZ110" ca="1" si="303">+IF(OR($H$113&gt;=48,$AJ$99=144),BF117&amp;" - "&amp;BG117,"")</f>
        <v>1A - 3E</v>
      </c>
      <c r="BA103" s="176"/>
      <c r="BF103" t="str">
        <f t="shared" ref="BF103:BF110" ca="1" si="304">IFERROR(INDEX($BC$6:$BC$53,MATCH(AL102,$BD$6:$BD$53,0)),"")</f>
        <v>F</v>
      </c>
      <c r="BG103">
        <f t="shared" ref="BG103:BG110" ca="1" si="305">COUNTIF($BF$103:$BF$110,"&lt;="&amp;BF103)</f>
        <v>3</v>
      </c>
      <c r="BI103">
        <v>1</v>
      </c>
      <c r="BJ103" t="str">
        <f t="shared" ref="BJ103:BJ110" ca="1" si="306">IFERROR(INDEX($BF$103:$BF$110,MATCH(BI103,$BG$103:$BG$110,0)),"Grupo")</f>
        <v>B</v>
      </c>
    </row>
    <row r="104" spans="1:62" ht="15.95" customHeight="1">
      <c r="A104" s="16" t="s">
        <v>662</v>
      </c>
      <c r="B104" s="16" t="s">
        <v>676</v>
      </c>
      <c r="C104" s="16"/>
      <c r="D104" s="16" t="str">
        <f t="shared" ca="1" si="289"/>
        <v>Suecia</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Suecia</v>
      </c>
      <c r="AB104" s="89"/>
      <c r="AC104" s="92">
        <v>1</v>
      </c>
      <c r="AD104" s="92">
        <v>0</v>
      </c>
      <c r="AE104" s="89"/>
      <c r="AF104" s="91" t="str">
        <f t="shared" ca="1" si="293"/>
        <v>Marruecos</v>
      </c>
      <c r="AG104" s="327">
        <f t="shared" ca="1" si="294"/>
        <v>1</v>
      </c>
      <c r="AH104" s="195">
        <v>75</v>
      </c>
      <c r="AI104" s="182">
        <v>3</v>
      </c>
      <c r="AJ104" s="42">
        <v>3</v>
      </c>
      <c r="AK104" s="602" t="str" cm="1">
        <f t="array" aca="1" ref="AK104" ca="1">Ver_flag_visit</f>
        <v/>
      </c>
      <c r="AL104" s="85" t="str">
        <f t="shared" ca="1" si="297"/>
        <v>Noruega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1</v>
      </c>
      <c r="AV104" s="182" t="str">
        <f t="shared" ca="1" si="300"/>
        <v>Noruega</v>
      </c>
      <c r="AW104" s="215"/>
      <c r="AX104" s="170"/>
      <c r="AY104" s="276"/>
      <c r="AZ104" s="279" t="str">
        <f t="shared" ca="1" si="303"/>
        <v>1B - 3J</v>
      </c>
      <c r="BA104" s="176"/>
      <c r="BF104" t="str">
        <f t="shared" ca="1" si="304"/>
        <v>L</v>
      </c>
      <c r="BG104">
        <f t="shared" ca="1" si="305"/>
        <v>8</v>
      </c>
      <c r="BI104">
        <v>2</v>
      </c>
      <c r="BJ104" t="str">
        <f t="shared" ca="1" si="306"/>
        <v>E</v>
      </c>
    </row>
    <row r="105" spans="1:62" ht="15.95" customHeight="1">
      <c r="A105" s="16" t="s">
        <v>684</v>
      </c>
      <c r="B105" s="16" t="s">
        <v>734</v>
      </c>
      <c r="C105" s="16"/>
      <c r="D105" s="16" t="str">
        <f t="shared" ca="1" si="289"/>
        <v>Costa de Marfil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Irán</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1</v>
      </c>
      <c r="AD105" s="92">
        <v>0</v>
      </c>
      <c r="AE105" s="89"/>
      <c r="AF105" s="91" t="str">
        <f t="shared" ca="1" si="293"/>
        <v>Senegal</v>
      </c>
      <c r="AG105" s="327">
        <f t="shared" ca="1" si="294"/>
        <v>1</v>
      </c>
      <c r="AH105" s="195">
        <v>78</v>
      </c>
      <c r="AI105" s="182">
        <v>4</v>
      </c>
      <c r="AJ105" s="42">
        <v>4</v>
      </c>
      <c r="AK105" s="602" t="str" cm="1">
        <f t="array" aca="1" ref="AK105" ca="1">Ver_flag_visit</f>
        <v/>
      </c>
      <c r="AL105" s="85" t="str">
        <f t="shared" ca="1" si="297"/>
        <v>Argelia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3</v>
      </c>
      <c r="AT105" s="87">
        <f t="shared" ca="1" si="308"/>
        <v>-1</v>
      </c>
      <c r="AU105" s="330">
        <f t="shared" ca="1" si="299"/>
        <v>1</v>
      </c>
      <c r="AV105" s="182" t="str">
        <f t="shared" ca="1" si="300"/>
        <v>Argelia</v>
      </c>
      <c r="AW105" s="215"/>
      <c r="AX105" s="170"/>
      <c r="AY105" s="276"/>
      <c r="AZ105" s="279" t="str">
        <f t="shared" ca="1" si="303"/>
        <v>1D - 3B</v>
      </c>
      <c r="BA105" s="176"/>
      <c r="BF105" t="str">
        <f t="shared" ca="1" si="304"/>
        <v>I</v>
      </c>
      <c r="BG105">
        <f t="shared" ca="1" si="305"/>
        <v>5</v>
      </c>
      <c r="BI105">
        <v>3</v>
      </c>
      <c r="BJ105" t="str">
        <f t="shared" ca="1" si="306"/>
        <v>F</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1</v>
      </c>
      <c r="AD106" s="92">
        <v>0</v>
      </c>
      <c r="AE106" s="89"/>
      <c r="AF106" s="91" t="str">
        <f t="shared" ca="1" si="293"/>
        <v>Irán</v>
      </c>
      <c r="AG106" s="327">
        <f t="shared" ca="1" si="294"/>
        <v>1</v>
      </c>
      <c r="AH106" s="195">
        <v>77</v>
      </c>
      <c r="AI106" s="182">
        <v>5</v>
      </c>
      <c r="AJ106" s="42">
        <v>5</v>
      </c>
      <c r="AK106" s="602" t="str" cm="1">
        <f t="array" aca="1" ref="AK106" ca="1">Ver_flag_visit</f>
        <v/>
      </c>
      <c r="AL106" s="85" t="str">
        <f t="shared" ca="1" si="297"/>
        <v>RD Congo</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3</v>
      </c>
      <c r="AS106" s="86">
        <f t="shared" ca="1" si="309"/>
        <v>5</v>
      </c>
      <c r="AT106" s="87">
        <f t="shared" ca="1" si="309"/>
        <v>-2</v>
      </c>
      <c r="AU106" s="330">
        <f t="shared" ca="1" si="299"/>
        <v>1</v>
      </c>
      <c r="AV106" s="182" t="str">
        <f t="shared" ca="1" si="300"/>
        <v>RD Congo</v>
      </c>
      <c r="AW106" s="215"/>
      <c r="AX106" s="170"/>
      <c r="AY106" s="276"/>
      <c r="AZ106" s="279" t="str">
        <f t="shared" ca="1" si="303"/>
        <v>1E - 3F</v>
      </c>
      <c r="BA106" s="176"/>
      <c r="BF106" t="str">
        <f t="shared" ca="1" si="304"/>
        <v>J</v>
      </c>
      <c r="BG106">
        <f t="shared" ca="1" si="305"/>
        <v>6</v>
      </c>
      <c r="BI106">
        <v>4</v>
      </c>
      <c r="BJ106" t="str">
        <f t="shared" ca="1" si="306"/>
        <v>G</v>
      </c>
    </row>
    <row r="107" spans="1:62" ht="15.95" customHeight="1">
      <c r="A107" s="16" t="s">
        <v>656</v>
      </c>
      <c r="B107" s="16" t="s">
        <v>735</v>
      </c>
      <c r="C107" s="16"/>
      <c r="D107" s="16" t="str">
        <f t="shared" ca="1" si="289"/>
        <v>Corea del Sur</v>
      </c>
      <c r="E107" s="16" t="s">
        <v>0</v>
      </c>
      <c r="F107" s="16" t="s">
        <v>732</v>
      </c>
      <c r="G107" s="16" t="s">
        <v>6</v>
      </c>
      <c r="H107" s="16">
        <f t="shared" ca="1" si="290"/>
        <v>12</v>
      </c>
      <c r="I107" s="16"/>
      <c r="J107" s="16">
        <v>79</v>
      </c>
      <c r="K107" s="16">
        <v>46203.75</v>
      </c>
      <c r="L107" s="16" t="s">
        <v>702</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Corea del Sur</v>
      </c>
      <c r="AB107" s="89"/>
      <c r="AC107" s="92">
        <v>1</v>
      </c>
      <c r="AD107" s="92">
        <v>0</v>
      </c>
      <c r="AE107" s="89"/>
      <c r="AF107" s="91" t="str">
        <f t="shared" ca="1" si="293"/>
        <v>Ecuador</v>
      </c>
      <c r="AG107" s="327">
        <f t="shared" ca="1" si="294"/>
        <v>1</v>
      </c>
      <c r="AH107" s="195">
        <v>79</v>
      </c>
      <c r="AI107" s="182">
        <v>6</v>
      </c>
      <c r="AJ107" s="42">
        <v>6</v>
      </c>
      <c r="AK107" s="602" t="str" cm="1">
        <f t="array" aca="1" ref="AK107" ca="1">Ver_flag_visit</f>
        <v/>
      </c>
      <c r="AL107" s="85" t="str">
        <f t="shared" ca="1" si="297"/>
        <v>Irán</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1</v>
      </c>
      <c r="AV107" s="182" t="str">
        <f ca="1">INDEX($BD$58:$BD$69,MATCH(AI107,$BM$58:$BM$69,0))</f>
        <v>Irán</v>
      </c>
      <c r="AW107" s="215"/>
      <c r="AX107" s="170"/>
      <c r="AY107" s="276"/>
      <c r="AZ107" s="279" t="str">
        <f t="shared" ca="1" si="303"/>
        <v>1G - 3I</v>
      </c>
      <c r="BA107" s="176"/>
      <c r="BF107" t="str">
        <f t="shared" ca="1" si="304"/>
        <v>K</v>
      </c>
      <c r="BG107">
        <f t="shared" ca="1" si="305"/>
        <v>7</v>
      </c>
      <c r="BI107">
        <v>5</v>
      </c>
      <c r="BJ107" t="str">
        <f t="shared" ca="1" si="306"/>
        <v>I</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1</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Ecuador</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4</v>
      </c>
      <c r="AT108" s="87">
        <f t="shared" ca="1" si="311"/>
        <v>-1</v>
      </c>
      <c r="AU108" s="330">
        <f t="shared" ca="1" si="299"/>
        <v>1</v>
      </c>
      <c r="AV108" s="182" t="str">
        <f t="shared" ca="1" si="300"/>
        <v>Ecuador</v>
      </c>
      <c r="AW108" s="215"/>
      <c r="AX108" s="170"/>
      <c r="AY108" s="276"/>
      <c r="AZ108" s="279" t="str">
        <f t="shared" ca="1" si="303"/>
        <v>1I - 3G</v>
      </c>
      <c r="BA108" s="176"/>
      <c r="BF108" t="str">
        <f t="shared" ca="1" si="304"/>
        <v>G</v>
      </c>
      <c r="BG108">
        <f t="shared" ca="1" si="305"/>
        <v>4</v>
      </c>
      <c r="BI108">
        <v>6</v>
      </c>
      <c r="BJ108" t="str">
        <f t="shared" ca="1" si="306"/>
        <v>J</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Noruega</v>
      </c>
      <c r="AG109" s="327">
        <f t="shared" ca="1" si="294"/>
        <v>1</v>
      </c>
      <c r="AH109" s="195">
        <v>82</v>
      </c>
      <c r="AI109" s="182">
        <v>8</v>
      </c>
      <c r="AJ109" s="42">
        <v>8</v>
      </c>
      <c r="AK109" s="602" t="str" cm="1">
        <f t="array" aca="1" ref="AK109" ca="1">Ver_flag_visit</f>
        <v/>
      </c>
      <c r="AL109" s="85" t="str">
        <f t="shared" ca="1" si="297"/>
        <v>Bosnia y Herzegovina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3</v>
      </c>
      <c r="AT109" s="87">
        <f t="shared" ca="1" si="312"/>
        <v>-1</v>
      </c>
      <c r="AU109" s="330">
        <f t="shared" ca="1" si="299"/>
        <v>1</v>
      </c>
      <c r="AV109" s="182" t="str">
        <f t="shared" ca="1" si="300"/>
        <v>Bosnia y Herzegovina</v>
      </c>
      <c r="AW109" s="215"/>
      <c r="AX109" s="170"/>
      <c r="AY109" s="276"/>
      <c r="AZ109" s="279" t="str">
        <f t="shared" ca="1" si="303"/>
        <v>1K - 3L</v>
      </c>
      <c r="BA109" s="176"/>
      <c r="BF109" t="str">
        <f t="shared" ca="1" si="304"/>
        <v>E</v>
      </c>
      <c r="BG109">
        <f t="shared" ca="1" si="305"/>
        <v>2</v>
      </c>
      <c r="BI109">
        <v>7</v>
      </c>
      <c r="BJ109" t="str">
        <f t="shared" ca="1" si="306"/>
        <v>K</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Noruega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Paraguay</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4</v>
      </c>
      <c r="AT110" s="87">
        <f t="shared" ca="1" si="313"/>
        <v>-2</v>
      </c>
      <c r="AU110" s="330">
        <f t="shared" ca="1" si="299"/>
        <v>1</v>
      </c>
      <c r="AV110" s="182" t="str">
        <f t="shared" ca="1" si="300"/>
        <v>Paraguay</v>
      </c>
      <c r="AW110" s="215"/>
      <c r="AX110" s="170"/>
      <c r="AY110" s="276"/>
      <c r="AZ110" s="279" t="str">
        <f t="shared" ca="1" si="303"/>
        <v>1L - 3K</v>
      </c>
      <c r="BA110" s="176"/>
      <c r="BF110" t="str">
        <f t="shared" ca="1" si="304"/>
        <v>B</v>
      </c>
      <c r="BG110">
        <f t="shared" ca="1" si="305"/>
        <v>1</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Escocia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5</v>
      </c>
      <c r="AT111" s="87">
        <f t="shared" ca="1" si="314"/>
        <v>-3</v>
      </c>
      <c r="AU111" s="330">
        <f t="shared" ca="1" si="299"/>
        <v>1</v>
      </c>
      <c r="AV111" s="182" t="str">
        <f t="shared" ca="1" si="300"/>
        <v>Escocia</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0</v>
      </c>
      <c r="AE112" s="89"/>
      <c r="AF112" s="91" t="str">
        <f t="shared" ca="1" si="293"/>
        <v>Ghana</v>
      </c>
      <c r="AG112" s="327">
        <f t="shared" ca="1" si="294"/>
        <v>1</v>
      </c>
      <c r="AH112" s="195">
        <v>83</v>
      </c>
      <c r="AI112" s="182">
        <v>11</v>
      </c>
      <c r="AJ112" s="42">
        <v>11</v>
      </c>
      <c r="AK112" s="602" t="str" cm="1">
        <f t="array" aca="1" ref="AK112" ca="1">Ver_flag_visit</f>
        <v/>
      </c>
      <c r="AL112" s="85" t="str">
        <f t="shared" ca="1" si="297"/>
        <v>Arabia Saudita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2</v>
      </c>
      <c r="AS112" s="86">
        <f t="shared" ca="1" si="315"/>
        <v>6</v>
      </c>
      <c r="AT112" s="87">
        <f t="shared" ca="1" si="315"/>
        <v>-4</v>
      </c>
      <c r="AU112" s="330">
        <f t="shared" ca="1" si="299"/>
        <v>1</v>
      </c>
      <c r="AV112" s="182" t="str">
        <f t="shared" ca="1" si="300"/>
        <v>Arabia Saudita</v>
      </c>
      <c r="AW112" s="215"/>
      <c r="AX112" s="170"/>
      <c r="AY112" s="275"/>
      <c r="AZ112" s="275"/>
      <c r="BA112" s="176"/>
      <c r="BI112" t="str">
        <f ca="1">IFERROR(CONCATENATE(BJ103,BJ104,BJ105,BJ106,BJ107,BJ108,BJ109,BJ110),"¿A/B/C/D/E/F/G/H/I/J/K/L?")</f>
        <v>BEFGIJKL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República Checa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30">
        <f t="shared" ca="1" si="299"/>
        <v>1</v>
      </c>
      <c r="AV113" s="182" t="str">
        <f t="shared" ca="1" si="300"/>
        <v>República Checa</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Croacia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México</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c r="AC120" s="96">
        <v>1</v>
      </c>
      <c r="AD120" s="96">
        <v>0</v>
      </c>
      <c r="AE120" s="89"/>
      <c r="AF120" s="91" t="str">
        <f t="shared" ref="AF120:AF127" ca="1" si="321">+INDEX($N$101:$N$147,MATCH(AH120,$J$101:$J$147,0))</f>
        <v>Suecia</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3F</v>
      </c>
    </row>
    <row r="121" spans="1:59" ht="15.95"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México</v>
      </c>
      <c r="N121" s="16" t="str">
        <f t="shared" ca="1" si="318"/>
        <v>Suecia</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0</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Costa de Marfil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Costa de Marfil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3G</v>
      </c>
    </row>
    <row r="123" spans="1:59" ht="15.95" customHeight="1">
      <c r="A123" s="16" t="s">
        <v>747</v>
      </c>
      <c r="B123" s="16" t="s">
        <v>748</v>
      </c>
      <c r="C123" s="16"/>
      <c r="D123" s="16" t="str">
        <f t="shared" ca="1" si="317"/>
        <v>Corea del Sur</v>
      </c>
      <c r="E123" s="16">
        <v>79</v>
      </c>
      <c r="F123" s="16">
        <v>80</v>
      </c>
      <c r="G123" s="16"/>
      <c r="H123" s="16"/>
      <c r="I123" s="16"/>
      <c r="J123" s="16">
        <v>92</v>
      </c>
      <c r="K123" s="16">
        <v>46208.875</v>
      </c>
      <c r="L123" s="16" t="s">
        <v>715</v>
      </c>
      <c r="M123" s="16" t="str">
        <f t="shared" ca="1" si="318"/>
        <v>Corea del Sur</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Corea del Sur</v>
      </c>
      <c r="AB123" s="89"/>
      <c r="AC123" s="97">
        <v>1</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Colombia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1</v>
      </c>
      <c r="AD124" s="97">
        <v>0</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0</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México</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1</v>
      </c>
      <c r="AD131" s="96">
        <v>0</v>
      </c>
      <c r="AE131" s="90"/>
      <c r="AF131" s="116" t="str">
        <f ca="1">+INDEX($N$101:$N$147,MATCH(AH131,$J$101:$J$147,0))</f>
        <v>México</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Colombia</v>
      </c>
      <c r="E132" s="16">
        <v>93</v>
      </c>
      <c r="F132" s="16">
        <v>94</v>
      </c>
      <c r="G132" s="16"/>
      <c r="H132" s="16"/>
      <c r="I132" s="16"/>
      <c r="J132" s="16">
        <v>98</v>
      </c>
      <c r="K132" s="16">
        <v>46213.875</v>
      </c>
      <c r="L132" s="16" t="s">
        <v>721</v>
      </c>
      <c r="M132" s="16" t="str">
        <f t="shared" ca="1" si="323"/>
        <v>Colombia</v>
      </c>
      <c r="N132" s="16" t="str">
        <f t="shared" ca="1" si="323"/>
        <v>Estados Unidos</v>
      </c>
      <c r="O132" s="16"/>
      <c r="P132" s="16"/>
      <c r="Q132" s="16"/>
      <c r="R132" s="16"/>
      <c r="S132" s="16"/>
      <c r="T132" s="16"/>
      <c r="U132" s="16"/>
      <c r="V132" s="17"/>
      <c r="W132" s="662"/>
      <c r="X132" s="24">
        <f ca="1">Horarios!C132</f>
        <v>46213.875</v>
      </c>
      <c r="Y132" s="25">
        <f ca="1">Horarios!C132</f>
        <v>46213.875</v>
      </c>
      <c r="Z132" s="282">
        <f t="shared" si="324"/>
        <v>98</v>
      </c>
      <c r="AA132" s="88" t="str">
        <f t="shared" ca="1" si="325"/>
        <v>Colombia</v>
      </c>
      <c r="AB132" s="89"/>
      <c r="AC132" s="99">
        <v>1</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Corea del Sur</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Corea del Sur</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Alemania</v>
      </c>
      <c r="E138" s="16">
        <v>97</v>
      </c>
      <c r="F138" s="16">
        <v>98</v>
      </c>
      <c r="G138" s="16"/>
      <c r="H138" s="16" t="str">
        <f ca="1">IF(AND(OR(AC138="",AD138="")),"L101",IF(AC138&gt;AD138,AF138,IF(AC138&lt;AD138,AA138,IF(AND(AC138=AD138,AB138=AE138),"L101",IF(AND(AC138=AD138,OR(AB138="",AE138="")),"L101",IF(AND(AC138=AD138,AB138&gt;AE138),AF138,AA138))))))</f>
        <v>Colombia</v>
      </c>
      <c r="I138" s="16"/>
      <c r="J138" s="16">
        <v>101</v>
      </c>
      <c r="K138" s="16">
        <v>46217.875</v>
      </c>
      <c r="L138" s="16" t="s">
        <v>724</v>
      </c>
      <c r="M138" s="16" t="str">
        <f ca="1">+INDEX($D$101:$D$147,MATCH(E138,$AH$101:$AH$147,0))</f>
        <v>Alemania</v>
      </c>
      <c r="N138" s="16" t="str">
        <f ca="1">+INDEX($D$101:$D$147,MATCH(F138,$AH$101:$AH$147,0))</f>
        <v>Colombia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Alemania</v>
      </c>
      <c r="AB138" s="89"/>
      <c r="AC138" s="101">
        <v>1</v>
      </c>
      <c r="AD138" s="101">
        <v>0</v>
      </c>
      <c r="AE138" s="89"/>
      <c r="AF138" s="116" t="str">
        <f ca="1">+INDEX($N$101:$N$147,MATCH(AH138,$J$101:$J$147,0))</f>
        <v>Colombia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Colombia</v>
      </c>
      <c r="E143" s="16">
        <v>101</v>
      </c>
      <c r="F143" s="16">
        <v>102</v>
      </c>
      <c r="G143" s="16"/>
      <c r="H143" s="16"/>
      <c r="I143" s="16"/>
      <c r="J143" s="16">
        <v>103</v>
      </c>
      <c r="K143" s="16">
        <v>46221.875</v>
      </c>
      <c r="L143" s="16" t="s">
        <v>726</v>
      </c>
      <c r="M143" s="16" t="str">
        <f ca="1">+INDEX($D$101:$D$147,MATCH(E143,$AH$101:$AH$147,0))</f>
        <v>Alemania</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Colombia</v>
      </c>
      <c r="AB143" s="216"/>
      <c r="AC143" s="105">
        <v>1</v>
      </c>
      <c r="AD143" s="105">
        <v>0</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Alemania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Alemania</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Alemania</v>
      </c>
      <c r="AB147" s="216"/>
      <c r="AC147" s="105">
        <v>11</v>
      </c>
      <c r="AD147" s="105">
        <v>0</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Alemania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Colombia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L162" r:id="rId1" display="© Miguel Angel Tejero. 2025"/>
    <hyperlink ref="AO162" r:id="rId2" display="https://www.paypal.com/donate?business=PJ2B6ZBH7ZHR4&amp;currency_code=EUR"/>
    <hyperlink ref="AV1" r:id="rId3"/>
    <hyperlink ref="AF162" location="Fixture!A1" display="Fixture"/>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Andrés</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1|1-0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X|2-2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1|3-1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1|6-0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1|2-0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1|4-1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1|3-1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X|0-0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1|1-0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2|1-2</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1|3-1</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1|4-0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X|1-1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2|0-3</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X|0-0</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X|2-2</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Corea del Sur</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Suecia</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Países Bajos</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Croacia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Suecia</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Corea del Sur</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Países Bajos</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Irán</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Noruega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Croacia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México-Canadá</v>
      </c>
      <c r="C164" s="349" t="str">
        <f ca="1">CONCATENATE(WORLDCUP!AA101,"-",WORLDCUP!AF101,"·",IF(WORLDCUP!AC101&gt;WORLDCUP!AD101,1,IF(WORLDCUP!AC101&lt;WORLDCUP!AD101,2,IF(AND(WORLDCUP!AC101=WORLDCUP!AD101,WORLDCUP!AC101&lt;&gt;"",WORLDCUP!AD101&lt;&gt;""),"X",0))),"|",WORLDCUP!AC101,"-",WORLDCUP!AD101)</f>
        <v>México-Canadá·1|1-0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Brasil-Japón·1|1-0</v>
      </c>
      <c r="D165" s="692"/>
      <c r="E165" s="711"/>
      <c r="F165" s="711"/>
      <c r="G165" s="711"/>
      <c r="H165" s="711"/>
      <c r="I165" s="352"/>
      <c r="J165" s="370"/>
      <c r="K165" s="370"/>
      <c r="L165" s="370"/>
      <c r="M165" s="386"/>
      <c r="N165" s="377"/>
    </row>
    <row r="166" spans="1:14" ht="15" customHeight="1">
      <c r="A166" s="690"/>
      <c r="B166" s="360" t="str">
        <f ca="1">CONCATENATE(WORLDCUP!AA103,"-",WORLDCUP!AF103)</f>
        <v>Alemania-Países Bajos</v>
      </c>
      <c r="C166" s="349" t="str">
        <f ca="1">CONCATENATE(WORLDCUP!AA103,"-",WORLDCUP!AF103,"·",IF(WORLDCUP!AC103&gt;WORLDCUP!AD103,1,IF(WORLDCUP!AC103&lt;WORLDCUP!AD103,2,IF(AND(WORLDCUP!AC103=WORLDCUP!AD103,WORLDCUP!AC103&lt;&gt;"",WORLDCUP!AD103&lt;&gt;""),"X",0))),"|",WORLDCUP!AC103,"-",WORLDCUP!AD103)</f>
        <v>Alemania-Países Bajos·1|1-0</v>
      </c>
      <c r="D166" s="692"/>
      <c r="E166" s="711"/>
      <c r="F166" s="711"/>
      <c r="G166" s="711"/>
      <c r="H166" s="711"/>
      <c r="I166" s="352"/>
      <c r="J166" s="370"/>
      <c r="K166" s="370"/>
      <c r="L166" s="370"/>
      <c r="M166" s="386"/>
      <c r="N166" s="377"/>
    </row>
    <row r="167" spans="1:14" ht="15" customHeight="1">
      <c r="A167" s="690"/>
      <c r="B167" s="360" t="str">
        <f ca="1">CONCATENATE(WORLDCUP!AA104,"-",WORLDCUP!AF104)</f>
        <v>Suecia-Marruecos</v>
      </c>
      <c r="C167" s="349" t="str">
        <f ca="1">CONCATENATE(WORLDCUP!AA104,"-",WORLDCUP!AF104,"·",IF(WORLDCUP!AC104&gt;WORLDCUP!AD104,1,IF(WORLDCUP!AC104&lt;WORLDCUP!AD104,2,IF(AND(WORLDCUP!AC104=WORLDCUP!AD104,WORLDCUP!AC104&lt;&gt;"",WORLDCUP!AD104&lt;&gt;""),"X",0))),"|",WORLDCUP!AC104,"-",WORLDCUP!AD104)</f>
        <v>Suecia-Marruecos·1|1-0</v>
      </c>
      <c r="D167" s="692"/>
      <c r="E167" s="711"/>
      <c r="F167" s="711"/>
      <c r="G167" s="711"/>
      <c r="H167" s="711"/>
      <c r="I167" s="352"/>
      <c r="J167" s="370"/>
      <c r="K167" s="370"/>
      <c r="L167" s="370"/>
      <c r="M167" s="386"/>
      <c r="N167" s="377"/>
    </row>
    <row r="168" spans="1:14" ht="15" customHeight="1">
      <c r="A168" s="690"/>
      <c r="B168" s="360" t="str">
        <f ca="1">CONCATENATE(WORLDCUP!AA105,"-",WORLDCUP!AF105)</f>
        <v>Costa de Marfil-Senegal</v>
      </c>
      <c r="C168" s="349" t="str">
        <f ca="1">CONCATENATE(WORLDCUP!AA105,"-",WORLDCUP!AF105,"·",IF(WORLDCUP!AC105&gt;WORLDCUP!AD105,1,IF(WORLDCUP!AC105&lt;WORLDCUP!AD105,2,IF(AND(WORLDCUP!AC105=WORLDCUP!AD105,WORLDCUP!AC105&lt;&gt;"",WORLDCUP!AD105&lt;&gt;""),"X",0))),"|",WORLDCUP!AC105,"-",WORLDCUP!AD105)</f>
        <v>Costa de Marfil-Senegal·1|1-0</v>
      </c>
      <c r="D168" s="692"/>
      <c r="E168" s="370"/>
      <c r="F168" s="370"/>
      <c r="G168" s="370"/>
      <c r="H168" s="370"/>
      <c r="I168" s="352"/>
      <c r="J168" s="370"/>
      <c r="K168" s="370"/>
      <c r="L168" s="370"/>
      <c r="M168" s="386"/>
      <c r="N168" s="377"/>
    </row>
    <row r="169" spans="1:14" ht="15" customHeight="1">
      <c r="A169" s="690"/>
      <c r="B169" s="360" t="str">
        <f ca="1">CONCATENATE(WORLDCUP!AA106,"-",WORLDCUP!AF106)</f>
        <v>Francia-Irán</v>
      </c>
      <c r="C169" s="349" t="str">
        <f ca="1">CONCATENATE(WORLDCUP!AA106,"-",WORLDCUP!AF106,"·",IF(WORLDCUP!AC106&gt;WORLDCUP!AD106,1,IF(WORLDCUP!AC106&lt;WORLDCUP!AD106,2,IF(AND(WORLDCUP!AC106=WORLDCUP!AD106,WORLDCUP!AC106&lt;&gt;"",WORLDCUP!AD106&lt;&gt;""),"X",0))),"|",WORLDCUP!AC106,"-",WORLDCUP!AD106)</f>
        <v>Francia-Irán·1|1-0</v>
      </c>
      <c r="D169" s="692"/>
      <c r="E169" s="370"/>
      <c r="F169" s="370"/>
      <c r="G169" s="370"/>
      <c r="H169" s="370"/>
      <c r="I169" s="352"/>
      <c r="J169" s="370"/>
      <c r="K169" s="370"/>
      <c r="L169" s="370"/>
      <c r="M169" s="386"/>
      <c r="N169" s="377"/>
    </row>
    <row r="170" spans="1:14" ht="15" customHeight="1">
      <c r="A170" s="690"/>
      <c r="B170" s="360" t="str">
        <f ca="1">CONCATENATE(WORLDCUP!AA107,"-",WORLDCUP!AF107)</f>
        <v>Corea del Sur-Ecuador</v>
      </c>
      <c r="C170" s="349" t="str">
        <f ca="1">CONCATENATE(WORLDCUP!AA107,"-",WORLDCUP!AF107,"·",IF(WORLDCUP!AC107&gt;WORLDCUP!AD107,1,IF(WORLDCUP!AC107&lt;WORLDCUP!AD107,2,IF(AND(WORLDCUP!AC107=WORLDCUP!AD107,WORLDCUP!AC107&lt;&gt;"",WORLDCUP!AD107&lt;&gt;""),"X",0))),"|",WORLDCUP!AC107,"-",WORLDCUP!AD107)</f>
        <v>Corea del Sur-Ecuador·1|1-0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Congo·1|1-0</v>
      </c>
      <c r="D171" s="692"/>
      <c r="E171" s="370"/>
      <c r="F171" s="370"/>
      <c r="G171" s="370"/>
      <c r="H171" s="370"/>
      <c r="I171" s="352"/>
      <c r="J171" s="370"/>
      <c r="K171" s="370"/>
      <c r="L171" s="370"/>
      <c r="M171" s="386"/>
      <c r="N171" s="377"/>
    </row>
    <row r="172" spans="1:14" ht="15" customHeight="1">
      <c r="A172" s="690"/>
      <c r="B172" s="360" t="str">
        <f ca="1">CONCATENATE(WORLDCUP!AA109,"-",WORLDCUP!AF109)</f>
        <v>Bélgica-Noruega</v>
      </c>
      <c r="C172" s="349" t="str">
        <f ca="1">CONCATENATE(WORLDCUP!AA109,"-",WORLDCUP!AF109,"·",IF(WORLDCUP!AC109&gt;WORLDCUP!AD109,1,IF(WORLDCUP!AC109&lt;WORLDCUP!AD109,2,IF(AND(WORLDCUP!AC109=WORLDCUP!AD109,WORLDCUP!AC109&lt;&gt;"",WORLDCUP!AD109&lt;&gt;""),"X",0))),"|",WORLDCUP!AC109,"-",WORLDCUP!AD109)</f>
        <v>Bélgica-Noruega·1|1-0</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Colombia-Ghana·1|1-0</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Corea del Sur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Suecia</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Costa de Marfil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México-Suecia</v>
      </c>
      <c r="C200" s="351" t="str">
        <f ca="1">CONCATENATE(WORLDCUP!AA120,"-",WORLDCUP!AF120,"·",IF(WORLDCUP!AC120&gt;WORLDCUP!AD120,1,IF(WORLDCUP!AC120&lt;WORLDCUP!AD120,2,IF(AND(WORLDCUP!AC120=WORLDCUP!AD120,WORLDCUP!AC120&lt;&gt;"",WORLDCUP!AD120&lt;&gt;""),"X",0))),"|",WORLDCUP!AC120,"-",WORLDCUP!AD120)</f>
        <v>México-Suecia·1|1-0</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Alemania-Francia·1|1-0</v>
      </c>
      <c r="D201" s="691"/>
      <c r="E201" s="686"/>
      <c r="F201" s="686"/>
      <c r="G201" s="686"/>
      <c r="H201" s="686"/>
      <c r="I201" s="352"/>
      <c r="J201" s="370"/>
      <c r="K201" s="370"/>
      <c r="L201" s="370"/>
      <c r="M201" s="386"/>
      <c r="N201" s="377"/>
    </row>
    <row r="202" spans="1:14" ht="15" customHeight="1">
      <c r="A202" s="690"/>
      <c r="B202" s="361" t="str">
        <f ca="1">CONCATENATE(WORLDCUP!AA122,"-",WORLDCUP!AF122)</f>
        <v>Brasil-Costa de Marfil</v>
      </c>
      <c r="C202" s="351" t="str">
        <f ca="1">CONCATENATE(WORLDCUP!AA122,"-",WORLDCUP!AF122,"·",IF(WORLDCUP!AC122&gt;WORLDCUP!AD122,1,IF(WORLDCUP!AC122&lt;WORLDCUP!AD122,2,IF(AND(WORLDCUP!AC122=WORLDCUP!AD122,WORLDCUP!AC122&lt;&gt;"",WORLDCUP!AD122&lt;&gt;""),"X",0))),"|",WORLDCUP!AC122,"-",WORLDCUP!AD122)</f>
        <v>Brasil-Costa de Marfil·1|1-0</v>
      </c>
      <c r="D202" s="691"/>
      <c r="E202" s="686"/>
      <c r="F202" s="686"/>
      <c r="G202" s="686"/>
      <c r="H202" s="686"/>
      <c r="I202" s="352"/>
      <c r="J202" s="370"/>
      <c r="K202" s="370"/>
      <c r="L202" s="370"/>
      <c r="M202" s="386"/>
      <c r="N202" s="377"/>
    </row>
    <row r="203" spans="1:14" ht="15" customHeight="1">
      <c r="A203" s="690"/>
      <c r="B203" s="361" t="str">
        <f ca="1">CONCATENATE(WORLDCUP!AA123,"-",WORLDCUP!AF123)</f>
        <v>Corea del Sur-Inglaterra</v>
      </c>
      <c r="C203" s="351" t="str">
        <f ca="1">CONCATENATE(WORLDCUP!AA123,"-",WORLDCUP!AF123,"·",IF(WORLDCUP!AC123&gt;WORLDCUP!AD123,1,IF(WORLDCUP!AC123&lt;WORLDCUP!AD123,2,IF(AND(WORLDCUP!AC123=WORLDCUP!AD123,WORLDCUP!AC123&lt;&gt;"",WORLDCUP!AD123&lt;&gt;""),"X",0))),"|",WORLDCUP!AC123,"-",WORLDCUP!AD123)</f>
        <v>Corea del Sur-Inglaterra·1|1-0</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Colombia-España·1|1-0</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Suiza-Portugal·1|1-0</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Alemania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Colombia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México</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Corea del Sur</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Suiza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Alemania-México</v>
      </c>
      <c r="C220" s="349" t="str">
        <f ca="1">CONCATENATE(WORLDCUP!AA131,"-",WORLDCUP!AF131,"·",IF(WORLDCUP!AC131&gt;WORLDCUP!AD131,1,IF(WORLDCUP!AC131&lt;WORLDCUP!AD131,2,IF(AND(WORLDCUP!AC131=WORLDCUP!AD131,WORLDCUP!AC131&lt;&gt;"",WORLDCUP!AD131&lt;&gt;""),"X",0))),"|",WORLDCUP!AC131,"-",WORLDCUP!AD131)</f>
        <v>Alemania-México·1|1-0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Colombia-Estados Unidos</v>
      </c>
      <c r="C221" s="349" t="str">
        <f ca="1">CONCATENATE(WORLDCUP!AA132,"-",WORLDCUP!AF132,"·",IF(WORLDCUP!AC132&gt;WORLDCUP!AD132,1,IF(WORLDCUP!AC132&lt;WORLDCUP!AD132,2,IF(AND(WORLDCUP!AC132=WORLDCUP!AD132,WORLDCUP!AC132&lt;&gt;"",WORLDCUP!AD132&lt;&gt;""),"X",0))),"|",WORLDCUP!AC132,"-",WORLDCUP!AD132)</f>
        <v>Colombia-Estados Unidos·1|1-0</v>
      </c>
      <c r="D221" s="692"/>
      <c r="E221" s="686"/>
      <c r="F221" s="686"/>
      <c r="G221" s="686"/>
      <c r="H221" s="686"/>
      <c r="I221" s="352"/>
      <c r="J221" s="370"/>
      <c r="K221" s="370"/>
      <c r="L221" s="370"/>
      <c r="M221" s="386"/>
      <c r="N221" s="377"/>
    </row>
    <row r="222" spans="1:14" ht="15" customHeight="1">
      <c r="A222" s="690"/>
      <c r="B222" s="360" t="str">
        <f ca="1">CONCATENATE(WORLDCUP!AA133,"-",WORLDCUP!AF133)</f>
        <v>Brasil-Corea del Sur</v>
      </c>
      <c r="C222" s="349" t="str">
        <f ca="1">CONCATENATE(WORLDCUP!AA133,"-",WORLDCUP!AF133,"·",IF(WORLDCUP!AC133&gt;WORLDCUP!AD133,1,IF(WORLDCUP!AC133&lt;WORLDCUP!AD133,2,IF(AND(WORLDCUP!AC133=WORLDCUP!AD133,WORLDCUP!AC133&lt;&gt;"",WORLDCUP!AD133&lt;&gt;""),"X",0))),"|",WORLDCUP!AC133,"-",WORLDCUP!AD133)</f>
        <v>Brasil-Corea del Sur·1|1-0</v>
      </c>
      <c r="D222" s="692"/>
      <c r="E222" s="686"/>
      <c r="F222" s="686"/>
      <c r="G222" s="686"/>
      <c r="H222" s="686"/>
      <c r="I222" s="352"/>
      <c r="J222" s="370"/>
      <c r="K222" s="370"/>
      <c r="L222" s="370"/>
      <c r="M222" s="386"/>
      <c r="N222" s="377"/>
    </row>
    <row r="223" spans="1:14" ht="15" customHeight="1">
      <c r="A223" s="690"/>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Argentina-Suiza·1|1-0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Alemania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Colombia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Alemania-Colombia</v>
      </c>
      <c r="C232" s="351" t="str">
        <f ca="1">CONCATENATE(WORLDCUP!AA138,"-",WORLDCUP!AF138,"·",IF(WORLDCUP!AC138&gt;WORLDCUP!AD138,1,IF(WORLDCUP!AC138&lt;WORLDCUP!AD138,2,IF(AND(WORLDCUP!AC138=WORLDCUP!AD138,WORLDCUP!AC138&lt;&gt;"",WORLDCUP!AD138&lt;&gt;""),"X",0))),"|",WORLDCUP!AC138,"-",WORLDCUP!AD138)</f>
        <v>Alemania-Colombia·1|1-0</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Brasil-Argentina·1|1-0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Colombia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Alemania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Brasil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Colombia-Argentina</v>
      </c>
      <c r="C244" s="349" t="str">
        <f ca="1">CONCATENATE(WORLDCUP!AA143,"-",WORLDCUP!AF143,"·",IF(WORLDCUP!AC143&gt;WORLDCUP!AD143,1,IF(WORLDCUP!AC143&lt;WORLDCUP!AD143,2,IF(AND(WORLDCUP!AC143=WORLDCUP!AD143,WORLDCUP!AC143&lt;&gt;"",WORLDCUP!AD143&lt;&gt;""),"X",0))),"|",WORLDCUP!AC143,"-",WORLDCUP!AD143)</f>
        <v>Colombia-Argentina·1|1-0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Alemania-Brasil</v>
      </c>
      <c r="C247" s="351" t="str">
        <f ca="1">CONCATENATE(WORLDCUP!AA147,"-",WORLDCUP!AF147,"·",IF(WORLDCUP!AC147&gt;WORLDCUP!AD147,1,IF(WORLDCUP!AC147&lt;WORLDCUP!AD147,2,IF(AND(WORLDCUP!AC147=WORLDCUP!AD147,WORLDCUP!AC147&lt;&gt;"",WORLDCUP!AD147&lt;&gt;""),"X",0))),"|",WORLDCUP!AC147,"-",WORLDCUP!AD147)</f>
        <v>Alemania-Brasil·1|11-0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Alemania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Colombia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Olise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Oyarzabal</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Pedri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Bellingham</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Mbappe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9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Cor</v>
      </c>
      <c r="I4" s="449">
        <f ca="1">+INDEX(WORLDCUP!$AM$6:$AM$97,MATCH(L4,WORLDCUP!$AI$6:$AI$97,0))</f>
        <v>7</v>
      </c>
      <c r="J4" s="450">
        <f ca="1">+INDEX(WORLDCUP!$AT$6:$AT$97,MATCH(L4,WORLDCUP!$AI$6:$AI$97,0))</f>
        <v>5</v>
      </c>
      <c r="K4" s="451" t="str">
        <f ca="1">+INDEX(WORLDCUP!$AR$6:$AR$97,MATCH(L4,WORLDCUP!$AI$6:$AI$97,0))&amp;"-"&amp;INDEX(WORLDCUP!$AS$6:$AS$97,MATCH(L4,WORLDCUP!$AI$6:$AI$97,0))</f>
        <v>5-0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5</v>
      </c>
      <c r="W4" s="451" t="str">
        <f ca="1">+INDEX(WORLDCUP!$AR$6:$AR$97,MATCH(X4,WORLDCUP!$AI$6:$AI$97,0))&amp;"-"&amp;INDEX(WORLDCUP!$AS$6:$AS$97,MATCH(X4,WORLDCUP!$AI$6:$AI$97,0))</f>
        <v>7-2</v>
      </c>
      <c r="X4" s="181" t="s">
        <v>678</v>
      </c>
      <c r="Y4" s="181">
        <v>74</v>
      </c>
      <c r="Z4" s="425" t="s">
        <v>733</v>
      </c>
      <c r="AA4" s="426" t="str">
        <f ca="1">+MID(INDEX(WORLDCUP!$AF$101:$AF$147,MATCH(Y4,WORLDCUP!$Z$101:$Z$147,0)),1,IF(WORLDCUP!$H$113&lt;144,6,3))</f>
        <v>Paí</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1</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Méx</v>
      </c>
      <c r="I5" s="38">
        <f ca="1">+INDEX(WORLDCUP!$AM$6:$AM$97,MATCH(L5,WORLDCUP!$AI$6:$AI$97,0))</f>
        <v>7</v>
      </c>
      <c r="J5" s="39">
        <f ca="1">+INDEX(WORLDCUP!$AT$6:$AT$97,MATCH(L5,WORLDCUP!$AI$6:$AI$97,0))</f>
        <v>4</v>
      </c>
      <c r="K5" s="43" t="str">
        <f ca="1">+INDEX(WORLDCUP!$AR$6:$AR$97,MATCH(L5,WORLDCUP!$AI$6:$AI$97,0))&amp;"-"&amp;INDEX(WORLDCUP!$AS$6:$AS$97,MATCH(L5,WORLDCUP!$AI$6:$AI$97,0))</f>
        <v>5-1</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3</v>
      </c>
      <c r="W5" s="43" t="str">
        <f ca="1">+INDEX(WORLDCUP!$AR$6:$AR$97,MATCH(X5,WORLDCUP!$AI$6:$AI$97,0))&amp;"-"&amp;INDEX(WORLDCUP!$AS$6:$AS$97,MATCH(X5,WORLDCUP!$AI$6:$AI$97,0))</f>
        <v>6-3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0</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95" thickBot="1">
      <c r="A6" s="181">
        <v>28</v>
      </c>
      <c r="B6" s="443"/>
      <c r="C6" s="444" t="str">
        <f ca="1">+MID(INDEX(WORLDCUP!$AA$4:$AA$147,MATCH(A6,WORLDCUP!$AH$4:$AH$147,0)),1,3)</f>
        <v>Méx</v>
      </c>
      <c r="D6" s="445">
        <f>IF(ISBLANK(INDEX(WORLDCUP!$AC$4:$AC$147,MATCH(A6,WORLDCUP!$AH$4:$AH$147,0))),"",INDEX(WORLDCUP!$AC$4:$AC$147,MATCH(A6,WORLDCUP!$AH$4:$AH$147,0)))</f>
        <v>0</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Rep</v>
      </c>
      <c r="I6" s="38">
        <f ca="1">+INDEX(WORLDCUP!$AM$6:$AM$97,MATCH(L6,WORLDCUP!$AI$6:$AI$97,0))</f>
        <v>1</v>
      </c>
      <c r="J6" s="39">
        <f ca="1">+INDEX(WORLDCUP!$AT$6:$AT$97,MATCH(L6,WORLDCUP!$AI$6:$AI$97,0))</f>
        <v>-4</v>
      </c>
      <c r="K6" s="43" t="str">
        <f ca="1">+INDEX(WORLDCUP!$AR$6:$AR$97,MATCH(L6,WORLDCUP!$AI$6:$AI$97,0))&amp;"-"&amp;INDEX(WORLDCUP!$AS$6:$AS$97,MATCH(L6,WORLDCUP!$AI$6:$AI$97,0))</f>
        <v>1-5</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-1</v>
      </c>
      <c r="W6" s="43" t="str">
        <f ca="1">+INDEX(WORLDCUP!$AR$6:$AR$97,MATCH(X6,WORLDCUP!$AI$6:$AI$97,0))&amp;"-"&amp;INDEX(WORLDCUP!$AS$6:$AS$97,MATCH(X6,WORLDCUP!$AI$6:$AI$97,0))</f>
        <v>4-5</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9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-5</v>
      </c>
      <c r="K7" s="479" t="str">
        <f ca="1">+INDEX(WORLDCUP!$AR$6:$AR$97,MATCH(L7,WORLDCUP!$AI$6:$AI$97,0))&amp;"-"&amp;INDEX(WORLDCUP!$AS$6:$AS$97,MATCH(L7,WORLDCUP!$AI$6:$AI$97,0))</f>
        <v>2-7</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-7</v>
      </c>
      <c r="W7" s="479" t="str">
        <f ca="1">+INDEX(WORLDCUP!$AR$6:$AR$97,MATCH(X7,WORLDCUP!$AI$6:$AI$97,0))&amp;"-"&amp;INDEX(WORLDCUP!$AS$6:$AS$97,MATCH(X7,WORLDCUP!$AI$6:$AI$97,0))</f>
        <v>0-7</v>
      </c>
      <c r="X7" s="181" t="s">
        <v>680</v>
      </c>
      <c r="Y7" s="181">
        <v>77</v>
      </c>
      <c r="Z7" s="425" t="s">
        <v>734</v>
      </c>
      <c r="AA7" s="480" t="str">
        <f ca="1">+MID(INDEX(WORLDCUP!$AF$101:$AF$147,MATCH(Y7,WORLDCUP!$Z$101:$Z$147,0)),1,IF(WORLDCUP!$H$113&lt;144,6,3))</f>
        <v>Irá</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9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Méx</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9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9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Sue</v>
      </c>
      <c r="AF11" s="457">
        <f>+IF(ISBLANK(INDEX(WORLDCUP!$AD$101:$AD$147,MATCH(AD11,WORLDCUP!$Z$101:$Z$147,0))),"",INDEX(WORLDCUP!$AD$101:$AD$147,MATCH(AD11,WORLDCUP!$Z$101:$Z$147,0)))</f>
        <v>0</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9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10-2</v>
      </c>
      <c r="X12" s="181" t="s">
        <v>681</v>
      </c>
      <c r="Y12" s="181">
        <v>75</v>
      </c>
      <c r="Z12" s="425" t="s">
        <v>675</v>
      </c>
      <c r="AA12" s="426" t="str">
        <f ca="1">+MID(INDEX(WORLDCUP!$AA$101:$AA$147,MATCH(Y12,WORLDCUP!$Z$101:$Z$147,0)),1,3)</f>
        <v>Sue</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9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-4</v>
      </c>
      <c r="W14" s="43" t="str">
        <f ca="1">+INDEX(WORLDCUP!$AR$6:$AR$97,MATCH(X14,WORLDCUP!$AI$6:$AI$97,0))&amp;"-"&amp;INDEX(WORLDCUP!$AS$6:$AS$97,MATCH(X14,WORLDCUP!$AI$6:$AI$97,0))</f>
        <v>2-6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Col</v>
      </c>
      <c r="AN14" s="509">
        <f>+IF(ISBLANK(INDEX(WORLDCUP!$AD$101:$AD$147,MATCH(AL14,WORLDCUP!$Z$101:$Z$147,0))),"",INDEX(WORLDCUP!$AD$101:$AD$147,MATCH(AL14,WORLDCUP!$Z$101:$Z$147,0)))</f>
        <v>0</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9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1-6</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0-7</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9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1</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0</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0</v>
      </c>
      <c r="BK17" s="465">
        <f ca="1">COUNTIF(Pool!$C$210:$C$217,Fixture!BG17)-BL17-BM17-BN17-BO17</f>
        <v>1</v>
      </c>
      <c r="BL17" s="465">
        <f ca="1">COUNTIF(Pool!$C$226:$C$229,Fixture!BG17)-BM17-BN17-BO17</f>
        <v>0</v>
      </c>
      <c r="BM17" s="463">
        <f ca="1">COUNTIF(Pool!$C$252,Fixture!BG17)</f>
        <v>0</v>
      </c>
      <c r="BN17" s="463">
        <f ca="1">COUNTIF(Pool!$C$251,Fixture!BG17)</f>
        <v>0</v>
      </c>
      <c r="BO17" s="466">
        <f ca="1">COUNTIF(Pool!$C$250,Fixture!BG17)</f>
        <v>0</v>
      </c>
    </row>
    <row r="18" spans="1:67" ht="15.9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9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Col</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7</v>
      </c>
      <c r="K20" s="451" t="str">
        <f ca="1">+INDEX(WORLDCUP!$AR$6:$AR$97,MATCH(L20,WORLDCUP!$AI$6:$AI$97,0))&amp;"-"&amp;INDEX(WORLDCUP!$AS$6:$AS$97,MATCH(L20,WORLDCUP!$AI$6:$AI$97,0))</f>
        <v>9-2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7</v>
      </c>
      <c r="W20" s="451" t="str">
        <f ca="1">+INDEX(WORLDCUP!$AR$6:$AR$97,MATCH(X20,WORLDCUP!$AI$6:$AI$97,0))&amp;"-"&amp;INDEX(WORLDCUP!$AS$6:$AS$97,MATCH(X20,WORLDCUP!$AI$6:$AI$97,0))</f>
        <v>8-1</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9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4</v>
      </c>
      <c r="K21" s="43" t="str">
        <f ca="1">+INDEX(WORLDCUP!$AR$6:$AR$97,MATCH(L21,WORLDCUP!$AI$6:$AI$97,0))&amp;"-"&amp;INDEX(WORLDCUP!$AS$6:$AS$97,MATCH(L21,WORLDCUP!$AI$6:$AI$97,0))</f>
        <v>7-3</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1</v>
      </c>
      <c r="W21" s="43" t="str">
        <f ca="1">+INDEX(WORLDCUP!$AR$6:$AR$97,MATCH(X21,WORLDCUP!$AI$6:$AI$97,0))&amp;"-"&amp;INDEX(WORLDCUP!$AS$6:$AS$97,MATCH(X21,WORLDCUP!$AI$6:$AI$97,0))</f>
        <v>4-3</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Alemania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9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2-5</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Nor</v>
      </c>
      <c r="U22" s="38">
        <f ca="1">+INDEX(WORLDCUP!$AM$6:$AM$97,MATCH(X22,WORLDCUP!$AI$6:$AI$97,0))</f>
        <v>4</v>
      </c>
      <c r="V22" s="39">
        <f ca="1">+INDEX(WORLDCUP!$AT$6:$AT$97,MATCH(X22,WORLDCUP!$AI$6:$AI$97,0))</f>
        <v>0</v>
      </c>
      <c r="W22" s="43" t="str">
        <f ca="1">+INDEX(WORLDCUP!$AR$6:$AR$97,MATCH(X22,WORLDCUP!$AI$6:$AI$97,0))&amp;"-"&amp;INDEX(WORLDCUP!$AS$6:$AS$97,MATCH(X22,WORLDCUP!$AI$6:$AI$97,0))</f>
        <v>3-3</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1-9</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9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1</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5.9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Nor</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Alem</v>
      </c>
      <c r="AV25" s="538">
        <f>+IF(ISBLANK(INDEX(WORLDCUP!$AC$101:$AC$147,MATCH(AT25,WORLDCUP!$Z$101:$Z$147,0))),"",INDEX(WORLDCUP!$AC$101:$AC$147,MATCH(AT25,WORLDCUP!$Z$101:$Z$147,0)))</f>
        <v>11</v>
      </c>
      <c r="AW25" s="539" t="str">
        <f>+IF(ISBLANK(INDEX(WORLDCUP!$AB$101:$AB$147,MATCH(AT25,WORLDCUP!$Z$101:$Z$147,0))),"","( "&amp;INDEX(WORLDCUP!$AB$101:$AB$147,MATCH(AT25,WORLDCUP!$Z$101:$Z$147,0))&amp;" )")</f>
        <v/>
      </c>
      <c r="AX25" s="540"/>
      <c r="AY25" s="527"/>
      <c r="AZ25" s="528" t="str">
        <f ca="1">+WORLDCUP!AA152</f>
        <v>Colombia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9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95" thickBot="1">
      <c r="A27" s="181">
        <v>4</v>
      </c>
      <c r="B27" s="542" t="s">
        <v>74</v>
      </c>
      <c r="C27" s="417" t="str">
        <f ca="1">+MID(INDEX(WORLDCUP!$AA$4:$AA$147,MATCH(A27,WORLDCUP!$AH$4:$AH$147,0)),1,3)</f>
        <v>Est</v>
      </c>
      <c r="D27" s="418">
        <f>IF(ISBLANK(INDEX(WORLDCUP!$AC$4:$AC$147,MATCH(A27,WORLDCUP!$AH$4:$AH$147,0))),"",INDEX(WORLDCUP!$AC$4:$AC$147,MATCH(A27,WORLDCUP!$AH$4:$AH$147,0)))</f>
        <v>3</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9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3</v>
      </c>
      <c r="K28" s="451" t="str">
        <f ca="1">+INDEX(WORLDCUP!$AR$6:$AR$97,MATCH(L28,WORLDCUP!$AI$6:$AI$97,0))&amp;"-"&amp;INDEX(WORLDCUP!$AS$6:$AS$97,MATCH(L28,WORLDCUP!$AI$6:$AI$97,0))</f>
        <v>6-3</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8-2</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3-2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2-2</v>
      </c>
      <c r="X29" s="181" t="s">
        <v>688</v>
      </c>
      <c r="Y29" s="181"/>
      <c r="Z29" s="425"/>
      <c r="AA29" s="469"/>
      <c r="AB29" s="469"/>
      <c r="AC29" s="470"/>
      <c r="AD29" s="181">
        <v>91</v>
      </c>
      <c r="AE29" s="456" t="str">
        <f ca="1">+MID(INDEX(WORLDCUP!$AF$101:$AF$147,MATCH(AD29,WORLDCUP!$Z$101:$Z$147,0)),1,3)</f>
        <v>Cos</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9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2-3</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9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2-4</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0</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0-5</v>
      </c>
      <c r="X31" s="181" t="s">
        <v>689</v>
      </c>
      <c r="Y31" s="181">
        <v>78</v>
      </c>
      <c r="Z31" s="425" t="s">
        <v>685</v>
      </c>
      <c r="AA31" s="480" t="str">
        <f ca="1">+MID(INDEX(WORLDCUP!$AF$101:$AF$147,MATCH(Y31,WORLDCUP!$Z$101:$Z$147,0)),1,3)</f>
        <v>Sen</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Colo</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9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Cor</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9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Cor</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9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Cor</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6</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4</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9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9</v>
      </c>
      <c r="K36" s="451" t="str">
        <f ca="1">+INDEX(WORLDCUP!$AR$6:$AR$97,MATCH(L36,WORLDCUP!$AI$6:$AI$97,0))&amp;"-"&amp;INDEX(WORLDCUP!$AS$6:$AS$97,MATCH(L36,WORLDCUP!$AI$6:$AI$97,0))</f>
        <v>10-1</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9-2</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9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3</v>
      </c>
      <c r="K37" s="43" t="str">
        <f ca="1">+INDEX(WORLDCUP!$AR$6:$AR$97,MATCH(L37,WORLDCUP!$AI$6:$AI$97,0))&amp;"-"&amp;INDEX(WORLDCUP!$AS$6:$AS$97,MATCH(L37,WORLDCUP!$AI$6:$AI$97,0))</f>
        <v>5-2</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4</v>
      </c>
      <c r="V37" s="39">
        <f ca="1">+INDEX(WORLDCUP!$AT$6:$AT$97,MATCH(X37,WORLDCUP!$AI$6:$AI$97,0))</f>
        <v>0</v>
      </c>
      <c r="W37" s="43" t="str">
        <f ca="1">+INDEX(WORLDCUP!$AR$6:$AR$97,MATCH(X37,WORLDCUP!$AI$6:$AI$97,0))&amp;"-"&amp;INDEX(WORLDCUP!$AS$6:$AS$97,MATCH(X37,WORLDCUP!$AI$6:$AI$97,0))</f>
        <v>4-4</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-1</v>
      </c>
      <c r="K38" s="43" t="str">
        <f ca="1">+INDEX(WORLDCUP!$AR$6:$AR$97,MATCH(L38,WORLDCUP!$AI$6:$AI$97,0))&amp;"-"&amp;INDEX(WORLDCUP!$AS$6:$AS$97,MATCH(L38,WORLDCUP!$AI$6:$AI$97,0))</f>
        <v>3-4</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-2</v>
      </c>
      <c r="W38" s="43" t="str">
        <f ca="1">+INDEX(WORLDCUP!$AR$6:$AR$97,MATCH(X38,WORLDCUP!$AI$6:$AI$97,0))&amp;"-"&amp;INDEX(WORLDCUP!$AS$6:$AS$97,MATCH(X38,WORLDCUP!$AI$6:$AI$97,0))</f>
        <v>3-5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9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-11</v>
      </c>
      <c r="K39" s="479" t="str">
        <f ca="1">+INDEX(WORLDCUP!$AR$6:$AR$97,MATCH(L39,WORLDCUP!$AI$6:$AI$97,0))&amp;"-"&amp;INDEX(WORLDCUP!$AS$6:$AS$97,MATCH(L39,WORLDCUP!$AI$6:$AI$97,0))</f>
        <v>0-11</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1-6</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9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9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9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Sue</v>
      </c>
      <c r="I44" s="449">
        <f ca="1">+INDEX(WORLDCUP!$AM$6:$AM$97,MATCH(L44,WORLDCUP!$AI$6:$AI$97,0))</f>
        <v>7</v>
      </c>
      <c r="J44" s="450">
        <f ca="1">+INDEX(WORLDCUP!$AT$6:$AT$97,MATCH(L44,WORLDCUP!$AI$6:$AI$97,0))</f>
        <v>2</v>
      </c>
      <c r="K44" s="451" t="str">
        <f ca="1">+INDEX(WORLDCUP!$AR$6:$AR$97,MATCH(L44,WORLDCUP!$AI$6:$AI$97,0))&amp;"-"&amp;INDEX(WORLDCUP!$AS$6:$AS$97,MATCH(L44,WORLDCUP!$AI$6:$AI$97,0))</f>
        <v>5-3</v>
      </c>
      <c r="L44" s="181" t="s">
        <v>675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7-2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9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2</v>
      </c>
      <c r="K45" s="43" t="str">
        <f ca="1">+INDEX(WORLDCUP!$AR$6:$AR$97,MATCH(L45,WORLDCUP!$AI$6:$AI$97,0))&amp;"-"&amp;INDEX(WORLDCUP!$AS$6:$AS$97,MATCH(L45,WORLDCUP!$AI$6:$AI$97,0))</f>
        <v>4-2</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Gha</v>
      </c>
      <c r="U45" s="38">
        <f ca="1">+INDEX(WORLDCUP!$AM$6:$AM$97,MATCH(X45,WORLDCUP!$AI$6:$AI$97,0))</f>
        <v>4</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9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Paí</v>
      </c>
      <c r="I46" s="38">
        <f ca="1">+INDEX(WORLDCUP!$AM$6:$AM$97,MATCH(L46,WORLDCUP!$AI$6:$AI$97,0))</f>
        <v>4</v>
      </c>
      <c r="J46" s="39">
        <f ca="1">+INDEX(WORLDCUP!$AT$6:$AT$97,MATCH(L46,WORLDCUP!$AI$6:$AI$97,0))</f>
        <v>1</v>
      </c>
      <c r="K46" s="43" t="str">
        <f ca="1">+INDEX(WORLDCUP!$AR$6:$AR$97,MATCH(L46,WORLDCUP!$AI$6:$AI$97,0))&amp;"-"&amp;INDEX(WORLDCUP!$AS$6:$AS$97,MATCH(L46,WORLDCUP!$AI$6:$AI$97,0))</f>
        <v>4-3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Cro</v>
      </c>
      <c r="U46" s="38">
        <f ca="1">+INDEX(WORLDCUP!$AM$6:$AM$97,MATCH(X46,WORLDCUP!$AI$6:$AI$97,0))</f>
        <v>4</v>
      </c>
      <c r="V46" s="39">
        <f ca="1">+INDEX(WORLDCUP!$AT$6:$AT$97,MATCH(X46,WORLDCUP!$AI$6:$AI$97,0))</f>
        <v>0</v>
      </c>
      <c r="W46" s="43" t="str">
        <f ca="1">+INDEX(WORLDCUP!$AR$6:$AR$97,MATCH(X46,WORLDCUP!$AI$6:$AI$97,0))&amp;"-"&amp;INDEX(WORLDCUP!$AS$6:$AS$97,MATCH(X46,WORLDCUP!$AI$6:$AI$97,0))</f>
        <v>4-4</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0</v>
      </c>
      <c r="BJ46" s="464">
        <f ca="1">COUNTIF(Pool!$C$182:$C$197,Fixture!BG46)-BK46-BL46-BM46-BN46-BO46</f>
        <v>1</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2-7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0</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9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2</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Cro</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Noruega</v>
      </c>
      <c r="F2" s="9" t="str">
        <f ca="1">+WORLDCUP!BD63</f>
        <v>Países Bajos</v>
      </c>
      <c r="G2" s="9" t="str">
        <f ca="1">+WORLDCUP!BD65</f>
        <v>Arabia Saudita</v>
      </c>
      <c r="H2" s="9" t="str">
        <f ca="1">+WORLDCUP!BD64</f>
        <v>Irán</v>
      </c>
      <c r="I2" s="9" t="str">
        <f ca="1">+WORLDCUP!BD69</f>
        <v>Croacia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Noruega</v>
      </c>
      <c r="F3" s="9" t="str">
        <f ca="1">+WORLDCUP!BD61</f>
        <v>Paraguay</v>
      </c>
      <c r="G3" s="9" t="str">
        <f ca="1">+WORLDCUP!BD67</f>
        <v>Argelia</v>
      </c>
      <c r="H3" s="9" t="str">
        <f ca="1">+WORLDCUP!BD63</f>
        <v>Países Bajos</v>
      </c>
      <c r="I3" s="9" t="str">
        <f ca="1">+WORLDCUP!BD69</f>
        <v>Croacia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Noruega</v>
      </c>
      <c r="F4" s="9" t="str">
        <f ca="1">+WORLDCUP!BD61</f>
        <v>Paraguay</v>
      </c>
      <c r="G4" s="9" t="str">
        <f ca="1">+WORLDCUP!BD65</f>
        <v>Arabia Saudita</v>
      </c>
      <c r="H4" s="9" t="str">
        <f ca="1">+WORLDCUP!BD64</f>
        <v>Irán</v>
      </c>
      <c r="I4" s="9" t="str">
        <f ca="1">+WORLDCUP!BD69</f>
        <v>Croacia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Noruega</v>
      </c>
      <c r="F5" s="9" t="str">
        <f ca="1">+WORLDCUP!BD61</f>
        <v>Paraguay</v>
      </c>
      <c r="G5" s="9" t="str">
        <f ca="1">+WORLDCUP!BD65</f>
        <v>Arabia Saudita</v>
      </c>
      <c r="H5" s="9" t="str">
        <f ca="1">+WORLDCUP!BD63</f>
        <v>Países Bajos</v>
      </c>
      <c r="I5" s="9" t="str">
        <f ca="1">+WORLDCUP!BD69</f>
        <v>Croacia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Noruega</v>
      </c>
      <c r="F6" s="9" t="str">
        <f ca="1">+WORLDCUP!BD61</f>
        <v>Paraguay</v>
      </c>
      <c r="G6" s="9" t="str">
        <f ca="1">+WORLDCUP!BD67</f>
        <v>Argelia</v>
      </c>
      <c r="H6" s="9" t="str">
        <f ca="1">+WORLDCUP!BD63</f>
        <v>Países Bajos</v>
      </c>
      <c r="I6" s="9" t="str">
        <f ca="1">+WORLDCUP!BD69</f>
        <v>Croacia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Arabia Saudita</v>
      </c>
      <c r="H7" s="9" t="str">
        <f ca="1">+WORLDCUP!BD63</f>
        <v>Países Bajos</v>
      </c>
      <c r="I7" s="9" t="str">
        <f ca="1">+WORLDCUP!BD69</f>
        <v>Croacia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Noruega</v>
      </c>
      <c r="F8" s="9" t="str">
        <f ca="1">+WORLDCUP!BD61</f>
        <v>Paraguay</v>
      </c>
      <c r="G8" s="9" t="str">
        <f ca="1">+WORLDCUP!BD65</f>
        <v>Arabia Saudita</v>
      </c>
      <c r="H8" s="9" t="str">
        <f ca="1">+WORLDCUP!BD63</f>
        <v>Países Bajos</v>
      </c>
      <c r="I8" s="9" t="str">
        <f ca="1">+WORLDCUP!BD69</f>
        <v>Croacia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Arabia Saudita</v>
      </c>
      <c r="H9" s="9" t="str">
        <f ca="1">+WORLDCUP!BD63</f>
        <v>Países Bajos</v>
      </c>
      <c r="I9" s="9" t="str">
        <f ca="1">+WORLDCUP!BD69</f>
        <v>Croacia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Arabia Saudita</v>
      </c>
      <c r="H10" s="9" t="str">
        <f ca="1">+WORLDCUP!BD63</f>
        <v>Países Bajos</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Noruega</v>
      </c>
      <c r="F11" s="9" t="str">
        <f ca="1">+WORLDCUP!BD60</f>
        <v>Escocia</v>
      </c>
      <c r="G11" s="9" t="str">
        <f ca="1">+WORLDCUP!BD67</f>
        <v>Argelia</v>
      </c>
      <c r="H11" s="9" t="str">
        <f ca="1">+WORLDCUP!BD63</f>
        <v>Países Bajos</v>
      </c>
      <c r="I11" s="9" t="str">
        <f ca="1">+WORLDCUP!BD69</f>
        <v>Croacia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Noruega</v>
      </c>
      <c r="F12" s="9" t="str">
        <f ca="1">+WORLDCUP!BD60</f>
        <v>Escocia</v>
      </c>
      <c r="G12" s="9" t="str">
        <f ca="1">+WORLDCUP!BD65</f>
        <v>Arabia Saudita</v>
      </c>
      <c r="H12" s="9" t="str">
        <f ca="1">+WORLDCUP!BD64</f>
        <v>Irán</v>
      </c>
      <c r="I12" s="9" t="str">
        <f ca="1">+WORLDCUP!BD69</f>
        <v>Croacia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Noruega</v>
      </c>
      <c r="F13" s="9" t="str">
        <f ca="1">+WORLDCUP!BD60</f>
        <v>Escocia</v>
      </c>
      <c r="G13" s="9" t="str">
        <f ca="1">+WORLDCUP!BD65</f>
        <v>Arabia Saudita</v>
      </c>
      <c r="H13" s="9" t="str">
        <f ca="1">+WORLDCUP!BD63</f>
        <v>Países Bajos</v>
      </c>
      <c r="I13" s="9" t="str">
        <f ca="1">+WORLDCUP!BD69</f>
        <v>Croacia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Noruega</v>
      </c>
      <c r="F14" s="9" t="str">
        <f ca="1">+WORLDCUP!BD60</f>
        <v>Escocia</v>
      </c>
      <c r="G14" s="9" t="str">
        <f ca="1">+WORLDCUP!BD67</f>
        <v>Argelia</v>
      </c>
      <c r="H14" s="9" t="str">
        <f ca="1">+WORLDCUP!BD63</f>
        <v>Países Bajos</v>
      </c>
      <c r="I14" s="9" t="str">
        <f ca="1">+WORLDCUP!BD69</f>
        <v>Croacia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Arabia Saudita</v>
      </c>
      <c r="H15" s="9" t="str">
        <f ca="1">+WORLDCUP!BD63</f>
        <v>Países Bajos</v>
      </c>
      <c r="I15" s="9" t="str">
        <f ca="1">+WORLDCUP!BD69</f>
        <v>Croacia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Noruega</v>
      </c>
      <c r="F16" s="9" t="str">
        <f ca="1">+WORLDCUP!BD60</f>
        <v>Escocia</v>
      </c>
      <c r="G16" s="9" t="str">
        <f ca="1">+WORLDCUP!BD65</f>
        <v>Arabia Saudita</v>
      </c>
      <c r="H16" s="9" t="str">
        <f ca="1">+WORLDCUP!BD63</f>
        <v>Países Bajos</v>
      </c>
      <c r="I16" s="9" t="str">
        <f ca="1">+WORLDCUP!BD69</f>
        <v>Croacia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Arabia Saudita</v>
      </c>
      <c r="H17" s="9" t="str">
        <f ca="1">+WORLDCUP!BD63</f>
        <v>Países Bajos</v>
      </c>
      <c r="I17" s="9" t="str">
        <f ca="1">+WORLDCUP!BD69</f>
        <v>Croacia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Arabia Saudita</v>
      </c>
      <c r="H18" s="9" t="str">
        <f ca="1">+WORLDCUP!BD63</f>
        <v>Países Bajos</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Noruega</v>
      </c>
      <c r="F19" s="9" t="str">
        <f ca="1">+WORLDCUP!BD60</f>
        <v>Escocia</v>
      </c>
      <c r="G19" s="9" t="str">
        <f ca="1">+WORLDCUP!BD67</f>
        <v>Argelia</v>
      </c>
      <c r="H19" s="9" t="str">
        <f ca="1">+WORLDCUP!BD61</f>
        <v>Paraguay</v>
      </c>
      <c r="I19" s="9" t="str">
        <f ca="1">+WORLDCUP!BD69</f>
        <v>Croacia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Noruega</v>
      </c>
      <c r="F20" s="9" t="str">
        <f ca="1">+WORLDCUP!BD61</f>
        <v>Paraguay</v>
      </c>
      <c r="G20" s="9" t="str">
        <f ca="1">+WORLDCUP!BD65</f>
        <v>Arabia Saudita</v>
      </c>
      <c r="H20" s="9" t="str">
        <f ca="1">+WORLDCUP!BD63</f>
        <v>Países Bajos</v>
      </c>
      <c r="I20" s="9" t="str">
        <f ca="1">+WORLDCUP!BD69</f>
        <v>Croacia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Paraguay</v>
      </c>
      <c r="G21" s="9" t="str">
        <f ca="1">+WORLDCUP!BD67</f>
        <v>Argelia</v>
      </c>
      <c r="H21" s="9" t="str">
        <f ca="1">+WORLDCUP!BD63</f>
        <v>Países Bajos</v>
      </c>
      <c r="I21" s="9" t="str">
        <f ca="1">+WORLDCUP!BD69</f>
        <v>Croacia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Países Bajos</v>
      </c>
      <c r="I22" s="9" t="str">
        <f ca="1">+WORLDCUP!BD69</f>
        <v>Croacia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Paraguay</v>
      </c>
      <c r="G23" s="9" t="str">
        <f ca="1">+WORLDCUP!BD65</f>
        <v>Arabia Saudita</v>
      </c>
      <c r="H23" s="9" t="str">
        <f ca="1">+WORLDCUP!BD63</f>
        <v>Países Bajos</v>
      </c>
      <c r="I23" s="9" t="str">
        <f ca="1">+WORLDCUP!BD69</f>
        <v>Croacia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Países Bajos</v>
      </c>
      <c r="I24" s="9" t="str">
        <f ca="1">+WORLDCUP!BD69</f>
        <v>Croacia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Países Bajos</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Noruega</v>
      </c>
      <c r="F26" s="9" t="str">
        <f ca="1">+WORLDCUP!BD60</f>
        <v>Escocia</v>
      </c>
      <c r="G26" s="9" t="str">
        <f ca="1">+WORLDCUP!BD65</f>
        <v>Arabia Saudita</v>
      </c>
      <c r="H26" s="9" t="str">
        <f ca="1">+WORLDCUP!BD61</f>
        <v>Paraguay</v>
      </c>
      <c r="I26" s="9" t="str">
        <f ca="1">+WORLDCUP!BD69</f>
        <v>Croacia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Noruega</v>
      </c>
      <c r="F27" s="9" t="str">
        <f ca="1">+WORLDCUP!BD60</f>
        <v>Escocia</v>
      </c>
      <c r="G27" s="9" t="str">
        <f ca="1">+WORLDCUP!BD67</f>
        <v>Argelia</v>
      </c>
      <c r="H27" s="9" t="str">
        <f ca="1">+WORLDCUP!BD61</f>
        <v>Paraguay</v>
      </c>
      <c r="I27" s="9" t="str">
        <f ca="1">+WORLDCUP!BD69</f>
        <v>Croacia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Arabia Saudita</v>
      </c>
      <c r="H28" s="9" t="str">
        <f ca="1">+WORLDCUP!BD61</f>
        <v>Paraguay</v>
      </c>
      <c r="I28" s="9" t="str">
        <f ca="1">+WORLDCUP!BD69</f>
        <v>Croacia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Noruega</v>
      </c>
      <c r="F29" s="9" t="str">
        <f ca="1">+WORLDCUP!BD60</f>
        <v>Escocia</v>
      </c>
      <c r="G29" s="9" t="str">
        <f ca="1">+WORLDCUP!BD65</f>
        <v>Arabia Saudita</v>
      </c>
      <c r="H29" s="9" t="str">
        <f ca="1">+WORLDCUP!BD61</f>
        <v>Paraguay</v>
      </c>
      <c r="I29" s="9" t="str">
        <f ca="1">+WORLDCUP!BD69</f>
        <v>Croacia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Arabia Saudita</v>
      </c>
      <c r="H30" s="9" t="str">
        <f ca="1">+WORLDCUP!BD61</f>
        <v>Paraguay</v>
      </c>
      <c r="I30" s="9" t="str">
        <f ca="1">+WORLDCUP!BD69</f>
        <v>Croacia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Arabia Saudita</v>
      </c>
      <c r="H31" s="9" t="str">
        <f ca="1">+WORLDCUP!BD61</f>
        <v>Paraguay</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Noruega</v>
      </c>
      <c r="H32" s="9" t="str">
        <f ca="1">+WORLDCUP!BD63</f>
        <v>Países Bajos</v>
      </c>
      <c r="I32" s="9" t="str">
        <f ca="1">+WORLDCUP!BD69</f>
        <v>Croacia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Arabia Saudita</v>
      </c>
      <c r="H33" s="9" t="str">
        <f ca="1">+WORLDCUP!BD63</f>
        <v>Países Bajos</v>
      </c>
      <c r="I33" s="9" t="str">
        <f ca="1">+WORLDCUP!BD69</f>
        <v>Croacia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Noruega</v>
      </c>
      <c r="F34" s="9" t="str">
        <f ca="1">+WORLDCUP!BD61</f>
        <v>Paraguay</v>
      </c>
      <c r="G34" s="9" t="str">
        <f ca="1">+WORLDCUP!BD65</f>
        <v>Arabia Saudita</v>
      </c>
      <c r="H34" s="9" t="str">
        <f ca="1">+WORLDCUP!BD63</f>
        <v>Países Bajos</v>
      </c>
      <c r="I34" s="9" t="str">
        <f ca="1">+WORLDCUP!BD69</f>
        <v>Croacia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Arabia Saudita</v>
      </c>
      <c r="H35" s="9" t="str">
        <f ca="1">+WORLDCUP!BD63</f>
        <v>Países Bajos</v>
      </c>
      <c r="I35" s="9" t="str">
        <f ca="1">+WORLDCUP!BD69</f>
        <v>Croacia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Arabia Saudita</v>
      </c>
      <c r="H36" s="9" t="str">
        <f ca="1">+WORLDCUP!BD63</f>
        <v>Países Bajos</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Países Bajos</v>
      </c>
      <c r="I37" s="9" t="str">
        <f ca="1">+WORLDCUP!BD69</f>
        <v>Croacia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Noruega</v>
      </c>
      <c r="H38" s="9" t="str">
        <f ca="1">+WORLDCUP!BD63</f>
        <v>Países Bajos</v>
      </c>
      <c r="I38" s="9" t="str">
        <f ca="1">+WORLDCUP!BD69</f>
        <v>Croacia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Países Bajos</v>
      </c>
      <c r="I39" s="9" t="str">
        <f ca="1">+WORLDCUP!BD69</f>
        <v>Croacia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Países Bajos</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Arabia Saudita</v>
      </c>
      <c r="H41" s="9" t="str">
        <f ca="1">+WORLDCUP!BD63</f>
        <v>Países Bajos</v>
      </c>
      <c r="I41" s="9" t="str">
        <f ca="1">+WORLDCUP!BD69</f>
        <v>Croacia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Países Bajos</v>
      </c>
      <c r="I42" s="9" t="str">
        <f ca="1">+WORLDCUP!BD69</f>
        <v>Croacia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Países Bajos</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Arabia Saudita</v>
      </c>
      <c r="H44" s="9" t="str">
        <f ca="1">+WORLDCUP!BD63</f>
        <v>Países Bajos</v>
      </c>
      <c r="I44" s="9" t="str">
        <f ca="1">+WORLDCUP!BD69</f>
        <v>Croacia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Arabia Saudita</v>
      </c>
      <c r="H45" s="9" t="str">
        <f ca="1">+WORLDCUP!BD63</f>
        <v>Países Bajos</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Países Bajos</v>
      </c>
      <c r="I46" s="9" t="str">
        <f ca="1">+WORLDCUP!BD62</f>
        <v>Ecuador</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Países Bajos</v>
      </c>
      <c r="G47" s="9" t="str">
        <f ca="1">+WORLDCUP!BD66</f>
        <v>Noruega</v>
      </c>
      <c r="H47" s="9" t="str">
        <f ca="1">+WORLDCUP!BD64</f>
        <v>Irán</v>
      </c>
      <c r="I47" s="9" t="str">
        <f ca="1">+WORLDCUP!BD69</f>
        <v>Croacia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Noruega</v>
      </c>
      <c r="F48" s="9" t="str">
        <f ca="1">+WORLDCUP!BD59</f>
        <v>Bosnia y Herzegovina</v>
      </c>
      <c r="G48" s="9" t="str">
        <f ca="1">+WORLDCUP!BD65</f>
        <v>Arabia Saudita</v>
      </c>
      <c r="H48" s="9" t="str">
        <f ca="1">+WORLDCUP!BD64</f>
        <v>Irán</v>
      </c>
      <c r="I48" s="9" t="str">
        <f ca="1">+WORLDCUP!BD69</f>
        <v>Croacia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Países Bajos</v>
      </c>
      <c r="G49" s="9" t="str">
        <f ca="1">+WORLDCUP!BD66</f>
        <v>Noruega</v>
      </c>
      <c r="H49" s="9" t="str">
        <f ca="1">+WORLDCUP!BD65</f>
        <v>Arabia Saudita</v>
      </c>
      <c r="I49" s="9" t="str">
        <f ca="1">+WORLDCUP!BD69</f>
        <v>Croacia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1</v>
      </c>
      <c r="C50" s="9" t="str">
        <f ca="1">+WORLDCUP!BD62</f>
        <v>Ecuador</v>
      </c>
      <c r="D50" s="9" t="str">
        <f ca="1">+WORLDCUP!BD67</f>
        <v>Argelia</v>
      </c>
      <c r="E50" s="9" t="str">
        <f ca="1">+WORLDCUP!BD59</f>
        <v>Bosnia y Herzegovina</v>
      </c>
      <c r="F50" s="9" t="str">
        <f ca="1">+WORLDCUP!BD63</f>
        <v>Países Bajos</v>
      </c>
      <c r="G50" s="9" t="str">
        <f ca="1">+WORLDCUP!BD66</f>
        <v>Noruega</v>
      </c>
      <c r="H50" s="9" t="str">
        <f ca="1">+WORLDCUP!BD64</f>
        <v>Irán</v>
      </c>
      <c r="I50" s="9" t="str">
        <f ca="1">+WORLDCUP!BD69</f>
        <v>Croacia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Países Bajos</v>
      </c>
      <c r="G51" s="9" t="str">
        <f ca="1">+WORLDCUP!BD65</f>
        <v>Arabia Saudita</v>
      </c>
      <c r="H51" s="9" t="str">
        <f ca="1">+WORLDCUP!BD64</f>
        <v>Irán</v>
      </c>
      <c r="I51" s="9" t="str">
        <f ca="1">+WORLDCUP!BD69</f>
        <v>Croacia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Países Bajos</v>
      </c>
      <c r="G52" s="9" t="str">
        <f ca="1">+WORLDCUP!BD66</f>
        <v>Noruega</v>
      </c>
      <c r="H52" s="9" t="str">
        <f ca="1">+WORLDCUP!BD65</f>
        <v>Arabia Saudita</v>
      </c>
      <c r="I52" s="9" t="str">
        <f ca="1">+WORLDCUP!BD69</f>
        <v>Croacia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Países Bajos</v>
      </c>
      <c r="G53" s="9" t="str">
        <f ca="1">+WORLDCUP!BD65</f>
        <v>Arabia Saudita</v>
      </c>
      <c r="H53" s="9" t="str">
        <f ca="1">+WORLDCUP!BD64</f>
        <v>Irán</v>
      </c>
      <c r="I53" s="9" t="str">
        <f ca="1">+WORLDCUP!BD69</f>
        <v>Croacia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Países Bajos</v>
      </c>
      <c r="G54" s="9" t="str">
        <f ca="1">+WORLDCUP!BD65</f>
        <v>Arabia Saudita</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Noruega</v>
      </c>
      <c r="H55" s="9" t="str">
        <f ca="1">+WORLDCUP!BD64</f>
        <v>Irán</v>
      </c>
      <c r="I55" s="9" t="str">
        <f ca="1">+WORLDCUP!BD69</f>
        <v>Croacia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Noruega</v>
      </c>
      <c r="H56" s="9" t="str">
        <f ca="1">+WORLDCUP!BD63</f>
        <v>Países Bajos</v>
      </c>
      <c r="I56" s="9" t="str">
        <f ca="1">+WORLDCUP!BD69</f>
        <v>Croacia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Paraguay</v>
      </c>
      <c r="G57" s="9" t="str">
        <f ca="1">+WORLDCUP!BD67</f>
        <v>Argelia</v>
      </c>
      <c r="H57" s="9" t="str">
        <f ca="1">+WORLDCUP!BD63</f>
        <v>Países Bajos</v>
      </c>
      <c r="I57" s="9" t="str">
        <f ca="1">+WORLDCUP!BD69</f>
        <v>Croacia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Países Bajos</v>
      </c>
      <c r="I58" s="9" t="str">
        <f ca="1">+WORLDCUP!BD69</f>
        <v>Croacia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Noruega</v>
      </c>
      <c r="H59" s="9" t="str">
        <f ca="1">+WORLDCUP!BD63</f>
        <v>Países Bajos</v>
      </c>
      <c r="I59" s="9" t="str">
        <f ca="1">+WORLDCUP!BD69</f>
        <v>Croacia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Países Bajos</v>
      </c>
      <c r="I60" s="9" t="str">
        <f ca="1">+WORLDCUP!BD69</f>
        <v>Croacia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Países Bajos</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Noruega</v>
      </c>
      <c r="H62" s="9" t="str">
        <f ca="1">+WORLDCUP!BD65</f>
        <v>Arabia Saudita</v>
      </c>
      <c r="I62" s="9" t="str">
        <f ca="1">+WORLDCUP!BD69</f>
        <v>Croacia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Noruega</v>
      </c>
      <c r="H63" s="9" t="str">
        <f ca="1">+WORLDCUP!BD64</f>
        <v>Irán</v>
      </c>
      <c r="I63" s="9" t="str">
        <f ca="1">+WORLDCUP!BD69</f>
        <v>Croacia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Croacia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Noruega</v>
      </c>
      <c r="H65" s="9" t="str">
        <f ca="1">+WORLDCUP!BD65</f>
        <v>Arabia Saudita</v>
      </c>
      <c r="I65" s="9" t="str">
        <f ca="1">+WORLDCUP!BD69</f>
        <v>Croacia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Croacia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Noruega</v>
      </c>
      <c r="H68" s="9" t="str">
        <f ca="1">+WORLDCUP!BD63</f>
        <v>Países Bajos</v>
      </c>
      <c r="I68" s="9" t="str">
        <f ca="1">+WORLDCUP!BD69</f>
        <v>Croacia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Arabia Saudita</v>
      </c>
      <c r="H69" s="9" t="str">
        <f ca="1">+WORLDCUP!BD63</f>
        <v>Países Bajos</v>
      </c>
      <c r="I69" s="9" t="str">
        <f ca="1">+WORLDCUP!BD69</f>
        <v>Croacia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Noruega</v>
      </c>
      <c r="E70" s="9" t="str">
        <f ca="1">+WORLDCUP!BD59</f>
        <v>Bosnia y Herzegovina</v>
      </c>
      <c r="F70" s="9" t="str">
        <f ca="1">+WORLDCUP!BD61</f>
        <v>Paraguay</v>
      </c>
      <c r="G70" s="9" t="str">
        <f ca="1">+WORLDCUP!BD65</f>
        <v>Arabia Saudita</v>
      </c>
      <c r="H70" s="9" t="str">
        <f ca="1">+WORLDCUP!BD63</f>
        <v>Países Bajos</v>
      </c>
      <c r="I70" s="9" t="str">
        <f ca="1">+WORLDCUP!BD69</f>
        <v>Croacia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Arabia Saudita</v>
      </c>
      <c r="H71" s="9" t="str">
        <f ca="1">+WORLDCUP!BD63</f>
        <v>Países Bajos</v>
      </c>
      <c r="I71" s="9" t="str">
        <f ca="1">+WORLDCUP!BD69</f>
        <v>Croacia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Arabia Saudita</v>
      </c>
      <c r="H72" s="9" t="str">
        <f ca="1">+WORLDCUP!BD63</f>
        <v>Países Bajos</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Países Bajos</v>
      </c>
      <c r="I73" s="9" t="str">
        <f ca="1">+WORLDCUP!BD69</f>
        <v>Croacia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Noruega</v>
      </c>
      <c r="H74" s="9" t="str">
        <f ca="1">+WORLDCUP!BD63</f>
        <v>Países Bajos</v>
      </c>
      <c r="I74" s="9" t="str">
        <f ca="1">+WORLDCUP!BD69</f>
        <v>Croacia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Países Bajos</v>
      </c>
      <c r="I75" s="9" t="str">
        <f ca="1">+WORLDCUP!BD69</f>
        <v>Croacia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Países Bajos</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Arabia Saudita</v>
      </c>
      <c r="H77" s="9" t="str">
        <f ca="1">+WORLDCUP!BD63</f>
        <v>Países Bajos</v>
      </c>
      <c r="I77" s="9" t="str">
        <f ca="1">+WORLDCUP!BD69</f>
        <v>Croacia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Países Bajos</v>
      </c>
      <c r="I78" s="9" t="str">
        <f ca="1">+WORLDCUP!BD69</f>
        <v>Croacia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Países Bajos</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Arabia Saudita</v>
      </c>
      <c r="H80" s="9" t="str">
        <f ca="1">+WORLDCUP!BD63</f>
        <v>Países Bajos</v>
      </c>
      <c r="I80" s="9" t="str">
        <f ca="1">+WORLDCUP!BD69</f>
        <v>Croacia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Arabia Saudita</v>
      </c>
      <c r="H81" s="9" t="str">
        <f ca="1">+WORLDCUP!BD63</f>
        <v>Países Bajos</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Países Bajos</v>
      </c>
      <c r="I82" s="9" t="str">
        <f ca="1">+WORLDCUP!BD62</f>
        <v>Ecuador</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Croacia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Noruega</v>
      </c>
      <c r="H84" s="9" t="str">
        <f ca="1">+WORLDCUP!BD63</f>
        <v>Países Bajos</v>
      </c>
      <c r="I84" s="9" t="str">
        <f ca="1">+WORLDCUP!BD69</f>
        <v>Croacia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Países Bajos</v>
      </c>
      <c r="I85" s="9" t="str">
        <f ca="1">+WORLDCUP!BD69</f>
        <v>Croacia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Países Bajos</v>
      </c>
      <c r="I86" s="9" t="str">
        <f ca="1">+WORLDCUP!BD69</f>
        <v>Croacia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Países Bajos</v>
      </c>
      <c r="I87" s="9" t="str">
        <f ca="1">+WORLDCUP!BD69</f>
        <v>Croacia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Países Bajos</v>
      </c>
      <c r="I88" s="9" t="str">
        <f ca="1">+WORLDCUP!BD69</f>
        <v>Croacia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Países Bajos</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Noruega</v>
      </c>
      <c r="H90" s="9" t="str">
        <f ca="1">+WORLDCUP!BD65</f>
        <v>Arabia Saudita</v>
      </c>
      <c r="I90" s="9" t="str">
        <f ca="1">+WORLDCUP!BD69</f>
        <v>Croacia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Croacia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Croacia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Croacia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Croacia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Noruega</v>
      </c>
      <c r="H96" s="9" t="str">
        <f ca="1">+WORLDCUP!BD63</f>
        <v>Países Bajos</v>
      </c>
      <c r="I96" s="9" t="str">
        <f ca="1">+WORLDCUP!BD69</f>
        <v>Croacia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Países Bajos</v>
      </c>
      <c r="I97" s="9" t="str">
        <f ca="1">+WORLDCUP!BD69</f>
        <v>Croacia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Noruega</v>
      </c>
      <c r="E98" s="9" t="str">
        <f ca="1">+WORLDCUP!BD59</f>
        <v>Bosnia y Herzegovina</v>
      </c>
      <c r="F98" s="9" t="str">
        <f ca="1">+WORLDCUP!BD60</f>
        <v>Escocia</v>
      </c>
      <c r="G98" s="9" t="str">
        <f ca="1">+WORLDCUP!BD65</f>
        <v>Arabia Saudita</v>
      </c>
      <c r="H98" s="9" t="str">
        <f ca="1">+WORLDCUP!BD63</f>
        <v>Países Bajos</v>
      </c>
      <c r="I98" s="9" t="str">
        <f ca="1">+WORLDCUP!BD69</f>
        <v>Croacia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Países Bajos</v>
      </c>
      <c r="I99" s="9" t="str">
        <f ca="1">+WORLDCUP!BD69</f>
        <v>Croacia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Países Bajos</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Países Bajos</v>
      </c>
      <c r="I101" s="9" t="str">
        <f ca="1">+WORLDCUP!BD69</f>
        <v>Croacia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Países Bajos</v>
      </c>
      <c r="I102" s="9" t="str">
        <f ca="1">+WORLDCUP!BD69</f>
        <v>Croacia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Países Bajos</v>
      </c>
      <c r="I103" s="9" t="str">
        <f ca="1">+WORLDCUP!BD69</f>
        <v>Croacia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Países Bajos</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Arabia Saudita</v>
      </c>
      <c r="H105" s="9" t="str">
        <f ca="1">+WORLDCUP!BD63</f>
        <v>Países Bajos</v>
      </c>
      <c r="I105" s="9" t="str">
        <f ca="1">+WORLDCUP!BD69</f>
        <v>Croacia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Países Bajos</v>
      </c>
      <c r="I106" s="9" t="str">
        <f ca="1">+WORLDCUP!BD69</f>
        <v>Croacia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Países Bajos</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Arabia Saudita</v>
      </c>
      <c r="H108" s="9" t="str">
        <f ca="1">+WORLDCUP!BD63</f>
        <v>Países Bajos</v>
      </c>
      <c r="I108" s="9" t="str">
        <f ca="1">+WORLDCUP!BD69</f>
        <v>Croacia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Arabia Saudita</v>
      </c>
      <c r="H109" s="9" t="str">
        <f ca="1">+WORLDCUP!BD63</f>
        <v>Países Bajos</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Países Bajos</v>
      </c>
      <c r="I110" s="9" t="str">
        <f ca="1">+WORLDCUP!BD62</f>
        <v>Ecuador</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Noruega</v>
      </c>
      <c r="H111" s="9" t="str">
        <f ca="1">+WORLDCUP!BD61</f>
        <v>Paraguay</v>
      </c>
      <c r="I111" s="9" t="str">
        <f ca="1">+WORLDCUP!BD69</f>
        <v>Croacia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Croacia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Croacia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Paraguay</v>
      </c>
      <c r="I114" s="9" t="str">
        <f ca="1">+WORLDCUP!BD69</f>
        <v>Croacia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Croacia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Noruega</v>
      </c>
      <c r="H117" s="9" t="str">
        <f ca="1">+WORLDCUP!BD63</f>
        <v>Países Bajos</v>
      </c>
      <c r="I117" s="9" t="str">
        <f ca="1">+WORLDCUP!BD69</f>
        <v>Croacia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Países Bajos</v>
      </c>
      <c r="I118" s="9" t="str">
        <f ca="1">+WORLDCUP!BD69</f>
        <v>Croacia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Paraguay</v>
      </c>
      <c r="G119" s="9" t="str">
        <f ca="1">+WORLDCUP!BD65</f>
        <v>Arabia Saudita</v>
      </c>
      <c r="H119" s="9" t="str">
        <f ca="1">+WORLDCUP!BD63</f>
        <v>Países Bajos</v>
      </c>
      <c r="I119" s="9" t="str">
        <f ca="1">+WORLDCUP!BD69</f>
        <v>Croacia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Países Bajos</v>
      </c>
      <c r="I120" s="9" t="str">
        <f ca="1">+WORLDCUP!BD69</f>
        <v>Croacia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Países Bajos</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Países Bajos</v>
      </c>
      <c r="I122" s="9" t="str">
        <f ca="1">+WORLDCUP!BD69</f>
        <v>Croacia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Noruega</v>
      </c>
      <c r="H123" s="9" t="str">
        <f ca="1">+WORLDCUP!BD63</f>
        <v>Países Bajos</v>
      </c>
      <c r="I123" s="9" t="str">
        <f ca="1">+WORLDCUP!BD69</f>
        <v>Croacia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Países Bajos</v>
      </c>
      <c r="I124" s="9" t="str">
        <f ca="1">+WORLDCUP!BD69</f>
        <v>Croacia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Países Bajos</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Países Bajos</v>
      </c>
      <c r="I126" s="9" t="str">
        <f ca="1">+WORLDCUP!BD69</f>
        <v>Croacia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Países Bajos</v>
      </c>
      <c r="I127" s="9" t="str">
        <f ca="1">+WORLDCUP!BD69</f>
        <v>Croacia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Países Bajos</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Países Bajos</v>
      </c>
      <c r="I129" s="9" t="str">
        <f ca="1">+WORLDCUP!BD69</f>
        <v>Croacia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Países Bajos</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Países Bajos</v>
      </c>
      <c r="I131" s="9" t="str">
        <f ca="1">+WORLDCUP!BD61</f>
        <v>Paraguay</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Noruega</v>
      </c>
      <c r="H132" s="9" t="str">
        <f ca="1">+WORLDCUP!BD61</f>
        <v>Paraguay</v>
      </c>
      <c r="I132" s="9" t="str">
        <f ca="1">+WORLDCUP!BD69</f>
        <v>Croacia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Croacia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Arabia Saudita</v>
      </c>
      <c r="H134" s="9" t="str">
        <f ca="1">+WORLDCUP!BD61</f>
        <v>Paraguay</v>
      </c>
      <c r="I134" s="9" t="str">
        <f ca="1">+WORLDCUP!BD69</f>
        <v>Croacia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Croacia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Croacia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Paraguay</v>
      </c>
      <c r="I138" s="9" t="str">
        <f ca="1">+WORLDCUP!BD69</f>
        <v>Croacia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Croacia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Croacia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Croacia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Croacia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Países Bajos</v>
      </c>
      <c r="I147" s="9" t="str">
        <f ca="1">+WORLDCUP!BD69</f>
        <v>Croacia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Noruega</v>
      </c>
      <c r="H148" s="9" t="str">
        <f ca="1">+WORLDCUP!BD63</f>
        <v>Países Bajos</v>
      </c>
      <c r="I148" s="9" t="str">
        <f ca="1">+WORLDCUP!BD69</f>
        <v>Croacia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Países Bajos</v>
      </c>
      <c r="I149" s="9" t="str">
        <f ca="1">+WORLDCUP!BD69</f>
        <v>Croacia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Países Bajos</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Países Bajos</v>
      </c>
      <c r="I151" s="9" t="str">
        <f ca="1">+WORLDCUP!BD69</f>
        <v>Croacia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Países Bajos</v>
      </c>
      <c r="I152" s="9" t="str">
        <f ca="1">+WORLDCUP!BD69</f>
        <v>Croacia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Países Bajos</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Países Bajos</v>
      </c>
      <c r="I154" s="9" t="str">
        <f ca="1">+WORLDCUP!BD69</f>
        <v>Croacia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Países Bajos</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Países Bajos</v>
      </c>
      <c r="I156" s="9" t="str">
        <f ca="1">+WORLDCUP!BD62</f>
        <v>Ecuador</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Países Bajos</v>
      </c>
      <c r="I157" s="9" t="str">
        <f ca="1">+WORLDCUP!BD69</f>
        <v>Croacia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Países Bajos</v>
      </c>
      <c r="I158" s="9" t="str">
        <f ca="1">+WORLDCUP!BD69</f>
        <v>Croacia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Países Bajos</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Países Bajos</v>
      </c>
      <c r="I160" s="9" t="str">
        <f ca="1">+WORLDCUP!BD69</f>
        <v>Croacia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Países Bajos</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Países Bajos</v>
      </c>
      <c r="I162" s="9" t="str">
        <f ca="1">+WORLDCUP!BD62</f>
        <v>Ecuador</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Países Bajos</v>
      </c>
      <c r="I163" s="9" t="str">
        <f ca="1">+WORLDCUP!BD69</f>
        <v>Croacia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Países Bajos</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Países Bajos</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Países Bajos</v>
      </c>
      <c r="I166" s="9" t="str">
        <f ca="1">+WORLDCUP!BD62</f>
        <v>Ecuador</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Noruega</v>
      </c>
      <c r="F167" s="9" t="str">
        <f ca="1">+WORLDCUP!BD63</f>
        <v>Países Bajos</v>
      </c>
      <c r="G167" s="9" t="str">
        <f ca="1">+WORLDCUP!BD58</f>
        <v>República Checa</v>
      </c>
      <c r="H167" s="9" t="str">
        <f ca="1">+WORLDCUP!BD64</f>
        <v>Irán</v>
      </c>
      <c r="I167" s="9" t="str">
        <f ca="1">+WORLDCUP!BD69</f>
        <v>Croacia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Noruega</v>
      </c>
      <c r="F168" s="9" t="str">
        <f ca="1">+WORLDCUP!BD58</f>
        <v>República Checa</v>
      </c>
      <c r="G168" s="9" t="str">
        <f ca="1">+WORLDCUP!BD65</f>
        <v>Arabia Saudita</v>
      </c>
      <c r="H168" s="9" t="str">
        <f ca="1">+WORLDCUP!BD64</f>
        <v>Irán</v>
      </c>
      <c r="I168" s="9" t="str">
        <f ca="1">+WORLDCUP!BD69</f>
        <v>Croacia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Noruega</v>
      </c>
      <c r="F169" s="9" t="str">
        <f ca="1">+WORLDCUP!BD63</f>
        <v>Países Bajos</v>
      </c>
      <c r="G169" s="9" t="str">
        <f ca="1">+WORLDCUP!BD58</f>
        <v>República Checa</v>
      </c>
      <c r="H169" s="9" t="str">
        <f ca="1">+WORLDCUP!BD65</f>
        <v>Arabia Saudita</v>
      </c>
      <c r="I169" s="9" t="str">
        <f ca="1">+WORLDCUP!BD69</f>
        <v>Croacia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Noruega</v>
      </c>
      <c r="F170" s="9" t="str">
        <f ca="1">+WORLDCUP!BD63</f>
        <v>Países Bajos</v>
      </c>
      <c r="G170" s="9" t="str">
        <f ca="1">+WORLDCUP!BD58</f>
        <v>República Checa</v>
      </c>
      <c r="H170" s="9" t="str">
        <f ca="1">+WORLDCUP!BD64</f>
        <v>Irán</v>
      </c>
      <c r="I170" s="9" t="str">
        <f ca="1">+WORLDCUP!BD69</f>
        <v>Croacia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Países Bajos</v>
      </c>
      <c r="G171" s="9" t="str">
        <f ca="1">+WORLDCUP!BD58</f>
        <v>República Checa</v>
      </c>
      <c r="H171" s="9" t="str">
        <f ca="1">+WORLDCUP!BD65</f>
        <v>Arabia Saudita</v>
      </c>
      <c r="I171" s="9" t="str">
        <f ca="1">+WORLDCUP!BD69</f>
        <v>Croacia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Noruega</v>
      </c>
      <c r="F172" s="9" t="str">
        <f ca="1">+WORLDCUP!BD63</f>
        <v>Países Bajos</v>
      </c>
      <c r="G172" s="9" t="str">
        <f ca="1">+WORLDCUP!BD58</f>
        <v>República Checa</v>
      </c>
      <c r="H172" s="9" t="str">
        <f ca="1">+WORLDCUP!BD65</f>
        <v>Arabia Saudita</v>
      </c>
      <c r="I172" s="9" t="str">
        <f ca="1">+WORLDCUP!BD69</f>
        <v>Croacia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Países Bajos</v>
      </c>
      <c r="G173" s="9" t="str">
        <f ca="1">+WORLDCUP!BD58</f>
        <v>República Checa</v>
      </c>
      <c r="H173" s="9" t="str">
        <f ca="1">+WORLDCUP!BD65</f>
        <v>Arabia Saudita</v>
      </c>
      <c r="I173" s="9" t="str">
        <f ca="1">+WORLDCUP!BD69</f>
        <v>Croacia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Países Bajos</v>
      </c>
      <c r="G174" s="9" t="str">
        <f ca="1">+WORLDCUP!BD58</f>
        <v>República Checa</v>
      </c>
      <c r="H174" s="9" t="str">
        <f ca="1">+WORLDCUP!BD65</f>
        <v>Arabia Saudita</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Noruega</v>
      </c>
      <c r="F175" s="9" t="str">
        <f ca="1">+WORLDCUP!BD61</f>
        <v>Paraguay</v>
      </c>
      <c r="G175" s="9" t="str">
        <f ca="1">+WORLDCUP!BD58</f>
        <v>República Checa</v>
      </c>
      <c r="H175" s="9" t="str">
        <f ca="1">+WORLDCUP!BD64</f>
        <v>Irán</v>
      </c>
      <c r="I175" s="9" t="str">
        <f ca="1">+WORLDCUP!BD69</f>
        <v>Croacia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Noruega</v>
      </c>
      <c r="F176" s="9" t="str">
        <f ca="1">+WORLDCUP!BD61</f>
        <v>Paraguay</v>
      </c>
      <c r="G176" s="9" t="str">
        <f ca="1">+WORLDCUP!BD58</f>
        <v>República Checa</v>
      </c>
      <c r="H176" s="9" t="str">
        <f ca="1">+WORLDCUP!BD63</f>
        <v>Países Bajos</v>
      </c>
      <c r="I176" s="9" t="str">
        <f ca="1">+WORLDCUP!BD69</f>
        <v>Croacia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Argelia</v>
      </c>
      <c r="F177" s="9" t="str">
        <f ca="1">+WORLDCUP!BD61</f>
        <v>Paraguay</v>
      </c>
      <c r="G177" s="9" t="str">
        <f ca="1">+WORLDCUP!BD58</f>
        <v>República Checa</v>
      </c>
      <c r="H177" s="9" t="str">
        <f ca="1">+WORLDCUP!BD63</f>
        <v>Países Bajos</v>
      </c>
      <c r="I177" s="9" t="str">
        <f ca="1">+WORLDCUP!BD69</f>
        <v>Croacia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Países Bajos</v>
      </c>
      <c r="I178" s="9" t="str">
        <f ca="1">+WORLDCUP!BD69</f>
        <v>Croacia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Noruega</v>
      </c>
      <c r="F179" s="9" t="str">
        <f ca="1">+WORLDCUP!BD61</f>
        <v>Paraguay</v>
      </c>
      <c r="G179" s="9" t="str">
        <f ca="1">+WORLDCUP!BD58</f>
        <v>República Checa</v>
      </c>
      <c r="H179" s="9" t="str">
        <f ca="1">+WORLDCUP!BD63</f>
        <v>Países Bajos</v>
      </c>
      <c r="I179" s="9" t="str">
        <f ca="1">+WORLDCUP!BD69</f>
        <v>Croacia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Países Bajos</v>
      </c>
      <c r="I180" s="9" t="str">
        <f ca="1">+WORLDCUP!BD69</f>
        <v>Croacia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Países Bajos</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Noruega</v>
      </c>
      <c r="F182" s="9" t="str">
        <f ca="1">+WORLDCUP!BD61</f>
        <v>Paraguay</v>
      </c>
      <c r="G182" s="9" t="str">
        <f ca="1">+WORLDCUP!BD58</f>
        <v>República Checa</v>
      </c>
      <c r="H182" s="9" t="str">
        <f ca="1">+WORLDCUP!BD65</f>
        <v>Arabia Saudita</v>
      </c>
      <c r="I182" s="9" t="str">
        <f ca="1">+WORLDCUP!BD69</f>
        <v>Croacia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Noruega</v>
      </c>
      <c r="F183" s="9" t="str">
        <f ca="1">+WORLDCUP!BD61</f>
        <v>Paraguay</v>
      </c>
      <c r="G183" s="9" t="str">
        <f ca="1">+WORLDCUP!BD58</f>
        <v>República Checa</v>
      </c>
      <c r="H183" s="9" t="str">
        <f ca="1">+WORLDCUP!BD64</f>
        <v>Irán</v>
      </c>
      <c r="I183" s="9" t="str">
        <f ca="1">+WORLDCUP!BD69</f>
        <v>Croacia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Croacia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Noruega</v>
      </c>
      <c r="F185" s="9" t="str">
        <f ca="1">+WORLDCUP!BD61</f>
        <v>Paraguay</v>
      </c>
      <c r="G185" s="9" t="str">
        <f ca="1">+WORLDCUP!BD58</f>
        <v>República Checa</v>
      </c>
      <c r="H185" s="9" t="str">
        <f ca="1">+WORLDCUP!BD65</f>
        <v>Arabia Saudita</v>
      </c>
      <c r="I185" s="9" t="str">
        <f ca="1">+WORLDCUP!BD69</f>
        <v>Croacia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Croacia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Noruega</v>
      </c>
      <c r="F188" s="9" t="str">
        <f ca="1">+WORLDCUP!BD61</f>
        <v>Paraguay</v>
      </c>
      <c r="G188" s="9" t="str">
        <f ca="1">+WORLDCUP!BD58</f>
        <v>República Checa</v>
      </c>
      <c r="H188" s="9" t="str">
        <f ca="1">+WORLDCUP!BD63</f>
        <v>Países Bajos</v>
      </c>
      <c r="I188" s="9" t="str">
        <f ca="1">+WORLDCUP!BD69</f>
        <v>Croacia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República Checa</v>
      </c>
      <c r="H189" s="9" t="str">
        <f ca="1">+WORLDCUP!BD63</f>
        <v>Países Bajos</v>
      </c>
      <c r="I189" s="9" t="str">
        <f ca="1">+WORLDCUP!BD69</f>
        <v>Croacia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Noruega</v>
      </c>
      <c r="F190" s="9" t="str">
        <f ca="1">+WORLDCUP!BD61</f>
        <v>Paraguay</v>
      </c>
      <c r="G190" s="9" t="str">
        <f ca="1">+WORLDCUP!BD58</f>
        <v>República Checa</v>
      </c>
      <c r="H190" s="9" t="str">
        <f ca="1">+WORLDCUP!BD63</f>
        <v>Países Bajos</v>
      </c>
      <c r="I190" s="9" t="str">
        <f ca="1">+WORLDCUP!BD69</f>
        <v>Croacia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República Checa</v>
      </c>
      <c r="H191" s="9" t="str">
        <f ca="1">+WORLDCUP!BD63</f>
        <v>Países Bajos</v>
      </c>
      <c r="I191" s="9" t="str">
        <f ca="1">+WORLDCUP!BD69</f>
        <v>Croacia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República Checa</v>
      </c>
      <c r="H192" s="9" t="str">
        <f ca="1">+WORLDCUP!BD63</f>
        <v>Países Bajos</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República Checa</v>
      </c>
      <c r="H193" s="9" t="str">
        <f ca="1">+WORLDCUP!BD63</f>
        <v>Países Bajos</v>
      </c>
      <c r="I193" s="9" t="str">
        <f ca="1">+WORLDCUP!BD69</f>
        <v>Croacia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Noruega</v>
      </c>
      <c r="F194" s="9" t="str">
        <f ca="1">+WORLDCUP!BD61</f>
        <v>Paraguay</v>
      </c>
      <c r="G194" s="9" t="str">
        <f ca="1">+WORLDCUP!BD58</f>
        <v>República Checa</v>
      </c>
      <c r="H194" s="9" t="str">
        <f ca="1">+WORLDCUP!BD63</f>
        <v>Países Bajos</v>
      </c>
      <c r="I194" s="9" t="str">
        <f ca="1">+WORLDCUP!BD69</f>
        <v>Croacia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República Checa</v>
      </c>
      <c r="H195" s="9" t="str">
        <f ca="1">+WORLDCUP!BD63</f>
        <v>Países Bajos</v>
      </c>
      <c r="I195" s="9" t="str">
        <f ca="1">+WORLDCUP!BD69</f>
        <v>Croacia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República Checa</v>
      </c>
      <c r="H196" s="9" t="str">
        <f ca="1">+WORLDCUP!BD63</f>
        <v>Países Bajos</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Ecuador</v>
      </c>
      <c r="F197" s="9" t="str">
        <f ca="1">+WORLDCUP!BD61</f>
        <v>Paraguay</v>
      </c>
      <c r="G197" s="9" t="str">
        <f ca="1">+WORLDCUP!BD58</f>
        <v>República Checa</v>
      </c>
      <c r="H197" s="9" t="str">
        <f ca="1">+WORLDCUP!BD63</f>
        <v>Países Bajos</v>
      </c>
      <c r="I197" s="9" t="str">
        <f ca="1">+WORLDCUP!BD69</f>
        <v>Croacia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Países Bajos</v>
      </c>
      <c r="I198" s="9" t="str">
        <f ca="1">+WORLDCUP!BD69</f>
        <v>Croacia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Países Bajos</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Ecuador</v>
      </c>
      <c r="F200" s="9" t="str">
        <f ca="1">+WORLDCUP!BD61</f>
        <v>Paraguay</v>
      </c>
      <c r="G200" s="9" t="str">
        <f ca="1">+WORLDCUP!BD58</f>
        <v>República Checa</v>
      </c>
      <c r="H200" s="9" t="str">
        <f ca="1">+WORLDCUP!BD63</f>
        <v>Países Bajos</v>
      </c>
      <c r="I200" s="9" t="str">
        <f ca="1">+WORLDCUP!BD69</f>
        <v>Croacia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Ecuador</v>
      </c>
      <c r="F201" s="9" t="str">
        <f ca="1">+WORLDCUP!BD61</f>
        <v>Paraguay</v>
      </c>
      <c r="G201" s="9" t="str">
        <f ca="1">+WORLDCUP!BD58</f>
        <v>República Checa</v>
      </c>
      <c r="H201" s="9" t="str">
        <f ca="1">+WORLDCUP!BD63</f>
        <v>Países Bajos</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Países Bajos</v>
      </c>
      <c r="I202" s="9" t="str">
        <f ca="1">+WORLDCUP!BD62</f>
        <v>Ecuador</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Noruega</v>
      </c>
      <c r="F203" s="9" t="str">
        <f ca="1">+WORLDCUP!BD60</f>
        <v>Escocia</v>
      </c>
      <c r="G203" s="9" t="str">
        <f ca="1">+WORLDCUP!BD58</f>
        <v>República Checa</v>
      </c>
      <c r="H203" s="9" t="str">
        <f ca="1">+WORLDCUP!BD64</f>
        <v>Irán</v>
      </c>
      <c r="I203" s="9" t="str">
        <f ca="1">+WORLDCUP!BD69</f>
        <v>Croacia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Noruega</v>
      </c>
      <c r="F204" s="9" t="str">
        <f ca="1">+WORLDCUP!BD60</f>
        <v>Escocia</v>
      </c>
      <c r="G204" s="9" t="str">
        <f ca="1">+WORLDCUP!BD58</f>
        <v>República Checa</v>
      </c>
      <c r="H204" s="9" t="str">
        <f ca="1">+WORLDCUP!BD63</f>
        <v>Países Bajos</v>
      </c>
      <c r="I204" s="9" t="str">
        <f ca="1">+WORLDCUP!BD69</f>
        <v>Croacia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Argelia</v>
      </c>
      <c r="F205" s="9" t="str">
        <f ca="1">+WORLDCUP!BD60</f>
        <v>Escocia</v>
      </c>
      <c r="G205" s="9" t="str">
        <f ca="1">+WORLDCUP!BD58</f>
        <v>República Checa</v>
      </c>
      <c r="H205" s="9" t="str">
        <f ca="1">+WORLDCUP!BD63</f>
        <v>Países Bajos</v>
      </c>
      <c r="I205" s="9" t="str">
        <f ca="1">+WORLDCUP!BD69</f>
        <v>Croacia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Países Bajos</v>
      </c>
      <c r="I206" s="9" t="str">
        <f ca="1">+WORLDCUP!BD69</f>
        <v>Croacia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Noruega</v>
      </c>
      <c r="F207" s="9" t="str">
        <f ca="1">+WORLDCUP!BD60</f>
        <v>Escocia</v>
      </c>
      <c r="G207" s="9" t="str">
        <f ca="1">+WORLDCUP!BD58</f>
        <v>República Checa</v>
      </c>
      <c r="H207" s="9" t="str">
        <f ca="1">+WORLDCUP!BD63</f>
        <v>Países Bajos</v>
      </c>
      <c r="I207" s="9" t="str">
        <f ca="1">+WORLDCUP!BD69</f>
        <v>Croacia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Países Bajos</v>
      </c>
      <c r="I208" s="9" t="str">
        <f ca="1">+WORLDCUP!BD69</f>
        <v>Croacia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Países Bajos</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Noruega</v>
      </c>
      <c r="F210" s="9" t="str">
        <f ca="1">+WORLDCUP!BD60</f>
        <v>Escocia</v>
      </c>
      <c r="G210" s="9" t="str">
        <f ca="1">+WORLDCUP!BD58</f>
        <v>República Checa</v>
      </c>
      <c r="H210" s="9" t="str">
        <f ca="1">+WORLDCUP!BD65</f>
        <v>Arabia Saudita</v>
      </c>
      <c r="I210" s="9" t="str">
        <f ca="1">+WORLDCUP!BD69</f>
        <v>Croacia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Noruega</v>
      </c>
      <c r="F211" s="9" t="str">
        <f ca="1">+WORLDCUP!BD60</f>
        <v>Escocia</v>
      </c>
      <c r="G211" s="9" t="str">
        <f ca="1">+WORLDCUP!BD58</f>
        <v>República Checa</v>
      </c>
      <c r="H211" s="9" t="str">
        <f ca="1">+WORLDCUP!BD64</f>
        <v>Irán</v>
      </c>
      <c r="I211" s="9" t="str">
        <f ca="1">+WORLDCUP!BD69</f>
        <v>Croacia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Croacia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Noruega</v>
      </c>
      <c r="F213" s="9" t="str">
        <f ca="1">+WORLDCUP!BD60</f>
        <v>Escocia</v>
      </c>
      <c r="G213" s="9" t="str">
        <f ca="1">+WORLDCUP!BD58</f>
        <v>República Checa</v>
      </c>
      <c r="H213" s="9" t="str">
        <f ca="1">+WORLDCUP!BD65</f>
        <v>Arabia Saudita</v>
      </c>
      <c r="I213" s="9" t="str">
        <f ca="1">+WORLDCUP!BD69</f>
        <v>Croacia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Croacia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Noruega</v>
      </c>
      <c r="F216" s="9" t="str">
        <f ca="1">+WORLDCUP!BD60</f>
        <v>Escocia</v>
      </c>
      <c r="G216" s="9" t="str">
        <f ca="1">+WORLDCUP!BD58</f>
        <v>República Checa</v>
      </c>
      <c r="H216" s="9" t="str">
        <f ca="1">+WORLDCUP!BD63</f>
        <v>Países Bajos</v>
      </c>
      <c r="I216" s="9" t="str">
        <f ca="1">+WORLDCUP!BD69</f>
        <v>Croacia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Países Bajos</v>
      </c>
      <c r="I217" s="9" t="str">
        <f ca="1">+WORLDCUP!BD69</f>
        <v>Croacia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Noruega</v>
      </c>
      <c r="F218" s="9" t="str">
        <f ca="1">+WORLDCUP!BD60</f>
        <v>Escocia</v>
      </c>
      <c r="G218" s="9" t="str">
        <f ca="1">+WORLDCUP!BD58</f>
        <v>República Checa</v>
      </c>
      <c r="H218" s="9" t="str">
        <f ca="1">+WORLDCUP!BD63</f>
        <v>Países Bajos</v>
      </c>
      <c r="I218" s="9" t="str">
        <f ca="1">+WORLDCUP!BD69</f>
        <v>Croacia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Países Bajos</v>
      </c>
      <c r="I219" s="9" t="str">
        <f ca="1">+WORLDCUP!BD69</f>
        <v>Croacia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Países Bajos</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República Checa</v>
      </c>
      <c r="H221" s="9" t="str">
        <f ca="1">+WORLDCUP!BD63</f>
        <v>Países Bajos</v>
      </c>
      <c r="I221" s="9" t="str">
        <f ca="1">+WORLDCUP!BD69</f>
        <v>Croacia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Noruega</v>
      </c>
      <c r="F222" s="9" t="str">
        <f ca="1">+WORLDCUP!BD60</f>
        <v>Escocia</v>
      </c>
      <c r="G222" s="9" t="str">
        <f ca="1">+WORLDCUP!BD58</f>
        <v>República Checa</v>
      </c>
      <c r="H222" s="9" t="str">
        <f ca="1">+WORLDCUP!BD63</f>
        <v>Países Bajos</v>
      </c>
      <c r="I222" s="9" t="str">
        <f ca="1">+WORLDCUP!BD69</f>
        <v>Croacia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República Checa</v>
      </c>
      <c r="H223" s="9" t="str">
        <f ca="1">+WORLDCUP!BD63</f>
        <v>Países Bajos</v>
      </c>
      <c r="I223" s="9" t="str">
        <f ca="1">+WORLDCUP!BD69</f>
        <v>Croacia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República Checa</v>
      </c>
      <c r="H224" s="9" t="str">
        <f ca="1">+WORLDCUP!BD63</f>
        <v>Países Bajos</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Ecuador</v>
      </c>
      <c r="F225" s="9" t="str">
        <f ca="1">+WORLDCUP!BD60</f>
        <v>Escocia</v>
      </c>
      <c r="G225" s="9" t="str">
        <f ca="1">+WORLDCUP!BD58</f>
        <v>República Checa</v>
      </c>
      <c r="H225" s="9" t="str">
        <f ca="1">+WORLDCUP!BD63</f>
        <v>Países Bajos</v>
      </c>
      <c r="I225" s="9" t="str">
        <f ca="1">+WORLDCUP!BD69</f>
        <v>Croacia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Países Bajos</v>
      </c>
      <c r="I226" s="9" t="str">
        <f ca="1">+WORLDCUP!BD69</f>
        <v>Croacia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Países Bajos</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Ecuador</v>
      </c>
      <c r="F228" s="9" t="str">
        <f ca="1">+WORLDCUP!BD60</f>
        <v>Escocia</v>
      </c>
      <c r="G228" s="9" t="str">
        <f ca="1">+WORLDCUP!BD58</f>
        <v>República Checa</v>
      </c>
      <c r="H228" s="9" t="str">
        <f ca="1">+WORLDCUP!BD63</f>
        <v>Países Bajos</v>
      </c>
      <c r="I228" s="9" t="str">
        <f ca="1">+WORLDCUP!BD69</f>
        <v>Croacia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Ecuador</v>
      </c>
      <c r="F229" s="9" t="str">
        <f ca="1">+WORLDCUP!BD60</f>
        <v>Escocia</v>
      </c>
      <c r="G229" s="9" t="str">
        <f ca="1">+WORLDCUP!BD58</f>
        <v>República Checa</v>
      </c>
      <c r="H229" s="9" t="str">
        <f ca="1">+WORLDCUP!BD63</f>
        <v>Países Bajos</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Países Bajos</v>
      </c>
      <c r="I230" s="9" t="str">
        <f ca="1">+WORLDCUP!BD62</f>
        <v>Ecuador</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Noruega</v>
      </c>
      <c r="F231" s="9" t="str">
        <f ca="1">+WORLDCUP!BD60</f>
        <v>Escocia</v>
      </c>
      <c r="G231" s="9" t="str">
        <f ca="1">+WORLDCUP!BD58</f>
        <v>República Checa</v>
      </c>
      <c r="H231" s="9" t="str">
        <f ca="1">+WORLDCUP!BD61</f>
        <v>Paraguay</v>
      </c>
      <c r="I231" s="9" t="str">
        <f ca="1">+WORLDCUP!BD69</f>
        <v>Croacia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Croacia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Croacia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Noruega</v>
      </c>
      <c r="F234" s="9" t="str">
        <f ca="1">+WORLDCUP!BD60</f>
        <v>Escocia</v>
      </c>
      <c r="G234" s="9" t="str">
        <f ca="1">+WORLDCUP!BD58</f>
        <v>República Checa</v>
      </c>
      <c r="H234" s="9" t="str">
        <f ca="1">+WORLDCUP!BD61</f>
        <v>Paraguay</v>
      </c>
      <c r="I234" s="9" t="str">
        <f ca="1">+WORLDCUP!BD69</f>
        <v>Croacia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Croacia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Noruega</v>
      </c>
      <c r="F237" s="9" t="str">
        <f ca="1">+WORLDCUP!BD61</f>
        <v>Paraguay</v>
      </c>
      <c r="G237" s="9" t="str">
        <f ca="1">+WORLDCUP!BD58</f>
        <v>República Checa</v>
      </c>
      <c r="H237" s="9" t="str">
        <f ca="1">+WORLDCUP!BD63</f>
        <v>Países Bajos</v>
      </c>
      <c r="I237" s="9" t="str">
        <f ca="1">+WORLDCUP!BD69</f>
        <v>Croacia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Países Bajos</v>
      </c>
      <c r="F238" s="9" t="str">
        <f ca="1">+WORLDCUP!BD60</f>
        <v>Escocia</v>
      </c>
      <c r="G238" s="9" t="str">
        <f ca="1">+WORLDCUP!BD58</f>
        <v>República Checa</v>
      </c>
      <c r="H238" s="9" t="str">
        <f ca="1">+WORLDCUP!BD61</f>
        <v>Paraguay</v>
      </c>
      <c r="I238" s="9" t="str">
        <f ca="1">+WORLDCUP!BD69</f>
        <v>Croacia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Países Bajos</v>
      </c>
      <c r="E239" s="9" t="str">
        <f ca="1">+WORLDCUP!BD66</f>
        <v>Noruega</v>
      </c>
      <c r="F239" s="9" t="str">
        <f ca="1">+WORLDCUP!BD60</f>
        <v>Escocia</v>
      </c>
      <c r="G239" s="9" t="str">
        <f ca="1">+WORLDCUP!BD58</f>
        <v>República Checa</v>
      </c>
      <c r="H239" s="9" t="str">
        <f ca="1">+WORLDCUP!BD61</f>
        <v>Paraguay</v>
      </c>
      <c r="I239" s="9" t="str">
        <f ca="1">+WORLDCUP!BD69</f>
        <v>Croacia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Países Bajos</v>
      </c>
      <c r="F240" s="9" t="str">
        <f ca="1">+WORLDCUP!BD60</f>
        <v>Escocia</v>
      </c>
      <c r="G240" s="9" t="str">
        <f ca="1">+WORLDCUP!BD58</f>
        <v>República Checa</v>
      </c>
      <c r="H240" s="9" t="str">
        <f ca="1">+WORLDCUP!BD61</f>
        <v>Paraguay</v>
      </c>
      <c r="I240" s="9" t="str">
        <f ca="1">+WORLDCUP!BD69</f>
        <v>Croacia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Países Bajos</v>
      </c>
      <c r="F241" s="9" t="str">
        <f ca="1">+WORLDCUP!BD60</f>
        <v>Escocia</v>
      </c>
      <c r="G241" s="9" t="str">
        <f ca="1">+WORLDCUP!BD58</f>
        <v>República Checa</v>
      </c>
      <c r="H241" s="9" t="str">
        <f ca="1">+WORLDCUP!BD61</f>
        <v>Paraguay</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Países Bajos</v>
      </c>
      <c r="I242" s="9" t="str">
        <f ca="1">+WORLDCUP!BD69</f>
        <v>Croacia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Paraguay</v>
      </c>
      <c r="G243" s="9" t="str">
        <f ca="1">+WORLDCUP!BD58</f>
        <v>República Checa</v>
      </c>
      <c r="H243" s="9" t="str">
        <f ca="1">+WORLDCUP!BD63</f>
        <v>Países Bajos</v>
      </c>
      <c r="I243" s="9" t="str">
        <f ca="1">+WORLDCUP!BD69</f>
        <v>Croacia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Países Bajos</v>
      </c>
      <c r="I244" s="9" t="str">
        <f ca="1">+WORLDCUP!BD69</f>
        <v>Croacia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Países Bajos</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Países Bajos</v>
      </c>
      <c r="F246" s="9" t="str">
        <f ca="1">+WORLDCUP!BD60</f>
        <v>Escocia</v>
      </c>
      <c r="G246" s="9" t="str">
        <f ca="1">+WORLDCUP!BD58</f>
        <v>República Checa</v>
      </c>
      <c r="H246" s="9" t="str">
        <f ca="1">+WORLDCUP!BD61</f>
        <v>Paraguay</v>
      </c>
      <c r="I246" s="9" t="str">
        <f ca="1">+WORLDCUP!BD69</f>
        <v>Croacia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Países Bajos</v>
      </c>
      <c r="I247" s="9" t="str">
        <f ca="1">+WORLDCUP!BD69</f>
        <v>Croacia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Países Bajos</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Países Bajos</v>
      </c>
      <c r="F249" s="9" t="str">
        <f ca="1">+WORLDCUP!BD60</f>
        <v>Escocia</v>
      </c>
      <c r="G249" s="9" t="str">
        <f ca="1">+WORLDCUP!BD58</f>
        <v>República Checa</v>
      </c>
      <c r="H249" s="9" t="str">
        <f ca="1">+WORLDCUP!BD61</f>
        <v>Paraguay</v>
      </c>
      <c r="I249" s="9" t="str">
        <f ca="1">+WORLDCUP!BD69</f>
        <v>Croacia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Países Bajos</v>
      </c>
      <c r="F250" s="9" t="str">
        <f ca="1">+WORLDCUP!BD60</f>
        <v>Escocia</v>
      </c>
      <c r="G250" s="9" t="str">
        <f ca="1">+WORLDCUP!BD58</f>
        <v>República Checa</v>
      </c>
      <c r="H250" s="9" t="str">
        <f ca="1">+WORLDCUP!BD61</f>
        <v>Paraguay</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Países Bajos</v>
      </c>
      <c r="I251" s="9" t="str">
        <f ca="1">+WORLDCUP!BD61</f>
        <v>Paraguay</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Noruega</v>
      </c>
      <c r="F252" s="9" t="str">
        <f ca="1">+WORLDCUP!BD60</f>
        <v>Escocia</v>
      </c>
      <c r="G252" s="9" t="str">
        <f ca="1">+WORLDCUP!BD58</f>
        <v>República Checa</v>
      </c>
      <c r="H252" s="9" t="str">
        <f ca="1">+WORLDCUP!BD61</f>
        <v>Paraguay</v>
      </c>
      <c r="I252" s="9" t="str">
        <f ca="1">+WORLDCUP!BD69</f>
        <v>Croacia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Paraguay</v>
      </c>
      <c r="I253" s="9" t="str">
        <f ca="1">+WORLDCUP!BD69</f>
        <v>Croacia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Noruega</v>
      </c>
      <c r="F254" s="9" t="str">
        <f ca="1">+WORLDCUP!BD60</f>
        <v>Escocia</v>
      </c>
      <c r="G254" s="9" t="str">
        <f ca="1">+WORLDCUP!BD58</f>
        <v>República Checa</v>
      </c>
      <c r="H254" s="9" t="str">
        <f ca="1">+WORLDCUP!BD61</f>
        <v>Paraguay</v>
      </c>
      <c r="I254" s="9" t="str">
        <f ca="1">+WORLDCUP!BD69</f>
        <v>Croacia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Paraguay</v>
      </c>
      <c r="I255" s="9" t="str">
        <f ca="1">+WORLDCUP!BD69</f>
        <v>Croacia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Paraguay</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Croacia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Noruega</v>
      </c>
      <c r="F258" s="9" t="str">
        <f ca="1">+WORLDCUP!BD60</f>
        <v>Escocia</v>
      </c>
      <c r="G258" s="9" t="str">
        <f ca="1">+WORLDCUP!BD58</f>
        <v>República Checa</v>
      </c>
      <c r="H258" s="9" t="str">
        <f ca="1">+WORLDCUP!BD61</f>
        <v>Paraguay</v>
      </c>
      <c r="I258" s="9" t="str">
        <f ca="1">+WORLDCUP!BD69</f>
        <v>Croacia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Croacia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Ecuador</v>
      </c>
      <c r="F261" s="9" t="str">
        <f ca="1">+WORLDCUP!BD60</f>
        <v>Escocia</v>
      </c>
      <c r="G261" s="9" t="str">
        <f ca="1">+WORLDCUP!BD58</f>
        <v>República Checa</v>
      </c>
      <c r="H261" s="9" t="str">
        <f ca="1">+WORLDCUP!BD61</f>
        <v>Paraguay</v>
      </c>
      <c r="I261" s="9" t="str">
        <f ca="1">+WORLDCUP!BD69</f>
        <v>Croacia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Croacia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Ecuador</v>
      </c>
      <c r="F264" s="9" t="str">
        <f ca="1">+WORLDCUP!BD60</f>
        <v>Escocia</v>
      </c>
      <c r="G264" s="9" t="str">
        <f ca="1">+WORLDCUP!BD58</f>
        <v>República Checa</v>
      </c>
      <c r="H264" s="9" t="str">
        <f ca="1">+WORLDCUP!BD61</f>
        <v>Paraguay</v>
      </c>
      <c r="I264" s="9" t="str">
        <f ca="1">+WORLDCUP!BD69</f>
        <v>Croacia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Ecuador</v>
      </c>
      <c r="F265" s="9" t="str">
        <f ca="1">+WORLDCUP!BD60</f>
        <v>Escocia</v>
      </c>
      <c r="G265" s="9" t="str">
        <f ca="1">+WORLDCUP!BD58</f>
        <v>República Checa</v>
      </c>
      <c r="H265" s="9" t="str">
        <f ca="1">+WORLDCUP!BD61</f>
        <v>Paraguay</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Ecuador</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República Checa</v>
      </c>
      <c r="H267" s="9" t="str">
        <f ca="1">+WORLDCUP!BD63</f>
        <v>Países Bajos</v>
      </c>
      <c r="I267" s="9" t="str">
        <f ca="1">+WORLDCUP!BD69</f>
        <v>Croacia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Noruega</v>
      </c>
      <c r="F268" s="9" t="str">
        <f ca="1">+WORLDCUP!BD61</f>
        <v>Paraguay</v>
      </c>
      <c r="G268" s="9" t="str">
        <f ca="1">+WORLDCUP!BD58</f>
        <v>República Checa</v>
      </c>
      <c r="H268" s="9" t="str">
        <f ca="1">+WORLDCUP!BD63</f>
        <v>Países Bajos</v>
      </c>
      <c r="I268" s="9" t="str">
        <f ca="1">+WORLDCUP!BD69</f>
        <v>Croacia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República Checa</v>
      </c>
      <c r="H269" s="9" t="str">
        <f ca="1">+WORLDCUP!BD63</f>
        <v>Países Bajos</v>
      </c>
      <c r="I269" s="9" t="str">
        <f ca="1">+WORLDCUP!BD69</f>
        <v>Croacia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República Checa</v>
      </c>
      <c r="H270" s="9" t="str">
        <f ca="1">+WORLDCUP!BD63</f>
        <v>Países Bajos</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Países Bajos</v>
      </c>
      <c r="F271" s="9" t="str">
        <f ca="1">+WORLDCUP!BD60</f>
        <v>Escocia</v>
      </c>
      <c r="G271" s="9" t="str">
        <f ca="1">+WORLDCUP!BD58</f>
        <v>República Checa</v>
      </c>
      <c r="H271" s="9" t="str">
        <f ca="1">+WORLDCUP!BD61</f>
        <v>Paraguay</v>
      </c>
      <c r="I271" s="9" t="str">
        <f ca="1">+WORLDCUP!BD69</f>
        <v>Croacia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Países Bajos</v>
      </c>
      <c r="F272" s="9" t="str">
        <f ca="1">+WORLDCUP!BD60</f>
        <v>Escocia</v>
      </c>
      <c r="G272" s="9" t="str">
        <f ca="1">+WORLDCUP!BD58</f>
        <v>República Checa</v>
      </c>
      <c r="H272" s="9" t="str">
        <f ca="1">+WORLDCUP!BD61</f>
        <v>Paraguay</v>
      </c>
      <c r="I272" s="9" t="str">
        <f ca="1">+WORLDCUP!BD69</f>
        <v>Croacia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Países Bajos</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Países Bajos</v>
      </c>
      <c r="F274" s="9" t="str">
        <f ca="1">+WORLDCUP!BD60</f>
        <v>Escocia</v>
      </c>
      <c r="G274" s="9" t="str">
        <f ca="1">+WORLDCUP!BD58</f>
        <v>República Checa</v>
      </c>
      <c r="H274" s="9" t="str">
        <f ca="1">+WORLDCUP!BD61</f>
        <v>Paraguay</v>
      </c>
      <c r="I274" s="9" t="str">
        <f ca="1">+WORLDCUP!BD69</f>
        <v>Croacia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Países Bajos</v>
      </c>
      <c r="F275" s="9" t="str">
        <f ca="1">+WORLDCUP!BD60</f>
        <v>Escocia</v>
      </c>
      <c r="G275" s="9" t="str">
        <f ca="1">+WORLDCUP!BD58</f>
        <v>República Checa</v>
      </c>
      <c r="H275" s="9" t="str">
        <f ca="1">+WORLDCUP!BD61</f>
        <v>Paraguay</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Países Bajos</v>
      </c>
      <c r="I276" s="9" t="str">
        <f ca="1">+WORLDCUP!BD61</f>
        <v>Paraguay</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República Checa</v>
      </c>
      <c r="H277" s="9" t="str">
        <f ca="1">+WORLDCUP!BD63</f>
        <v>Países Bajos</v>
      </c>
      <c r="I277" s="9" t="str">
        <f ca="1">+WORLDCUP!BD69</f>
        <v>Croacia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Países Bajos</v>
      </c>
      <c r="I278" s="9" t="str">
        <f ca="1">+WORLDCUP!BD69</f>
        <v>Croacia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Países Bajos</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República Checa</v>
      </c>
      <c r="H280" s="9" t="str">
        <f ca="1">+WORLDCUP!BD63</f>
        <v>Países Bajos</v>
      </c>
      <c r="I280" s="9" t="str">
        <f ca="1">+WORLDCUP!BD69</f>
        <v>Croacia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República Checa</v>
      </c>
      <c r="H281" s="9" t="str">
        <f ca="1">+WORLDCUP!BD63</f>
        <v>Países Bajos</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Países Bajos</v>
      </c>
      <c r="I282" s="9" t="str">
        <f ca="1">+WORLDCUP!BD62</f>
        <v>Ecuador</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Países Bajos</v>
      </c>
      <c r="F283" s="9" t="str">
        <f ca="1">+WORLDCUP!BD60</f>
        <v>Escocia</v>
      </c>
      <c r="G283" s="9" t="str">
        <f ca="1">+WORLDCUP!BD58</f>
        <v>República Checa</v>
      </c>
      <c r="H283" s="9" t="str">
        <f ca="1">+WORLDCUP!BD61</f>
        <v>Paraguay</v>
      </c>
      <c r="I283" s="9" t="str">
        <f ca="1">+WORLDCUP!BD69</f>
        <v>Croacia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Ecuador</v>
      </c>
      <c r="F284" s="9" t="str">
        <f ca="1">+WORLDCUP!BD60</f>
        <v>Escocia</v>
      </c>
      <c r="G284" s="9" t="str">
        <f ca="1">+WORLDCUP!BD58</f>
        <v>República Checa</v>
      </c>
      <c r="H284" s="9" t="str">
        <f ca="1">+WORLDCUP!BD63</f>
        <v>Países Bajos</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Países Bajos</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Ecuador</v>
      </c>
      <c r="F286" s="9" t="str">
        <f ca="1">+WORLDCUP!BD60</f>
        <v>Escocia</v>
      </c>
      <c r="G286" s="9" t="str">
        <f ca="1">+WORLDCUP!BD58</f>
        <v>República Checa</v>
      </c>
      <c r="H286" s="9" t="str">
        <f ca="1">+WORLDCUP!BD63</f>
        <v>Países Bajos</v>
      </c>
      <c r="I286" s="9" t="str">
        <f ca="1">+WORLDCUP!BD61</f>
        <v>Paraguay</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Noruega</v>
      </c>
      <c r="H287" s="9" t="str">
        <f ca="1">+WORLDCUP!BD64</f>
        <v>Irán</v>
      </c>
      <c r="I287" s="9" t="str">
        <f ca="1">+WORLDCUP!BD69</f>
        <v>Croacia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Noruega</v>
      </c>
      <c r="H288" s="9" t="str">
        <f ca="1">+WORLDCUP!BD63</f>
        <v>Países Bajos</v>
      </c>
      <c r="I288" s="9" t="str">
        <f ca="1">+WORLDCUP!BD69</f>
        <v>Croacia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Argelia</v>
      </c>
      <c r="E289" s="9" t="str">
        <f ca="1">+WORLDCUP!BD59</f>
        <v>Bosnia y Herzegovina</v>
      </c>
      <c r="F289" s="9" t="str">
        <f ca="1">+WORLDCUP!BD63</f>
        <v>Países Bajos</v>
      </c>
      <c r="G289" s="9" t="str">
        <f ca="1">+WORLDCUP!BD58</f>
        <v>República Checa</v>
      </c>
      <c r="H289" s="9" t="str">
        <f ca="1">+WORLDCUP!BD64</f>
        <v>Irán</v>
      </c>
      <c r="I289" s="9" t="str">
        <f ca="1">+WORLDCUP!BD69</f>
        <v>Croacia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Países Bajos</v>
      </c>
      <c r="G290" s="9" t="str">
        <f ca="1">+WORLDCUP!BD58</f>
        <v>República Checa</v>
      </c>
      <c r="H290" s="9" t="str">
        <f ca="1">+WORLDCUP!BD64</f>
        <v>Irán</v>
      </c>
      <c r="I290" s="9" t="str">
        <f ca="1">+WORLDCUP!BD69</f>
        <v>Croacia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Noruega</v>
      </c>
      <c r="H291" s="9" t="str">
        <f ca="1">+WORLDCUP!BD63</f>
        <v>Países Bajos</v>
      </c>
      <c r="I291" s="9" t="str">
        <f ca="1">+WORLDCUP!BD69</f>
        <v>Croacia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Países Bajos</v>
      </c>
      <c r="G292" s="9" t="str">
        <f ca="1">+WORLDCUP!BD58</f>
        <v>República Checa</v>
      </c>
      <c r="H292" s="9" t="str">
        <f ca="1">+WORLDCUP!BD64</f>
        <v>Irán</v>
      </c>
      <c r="I292" s="9" t="str">
        <f ca="1">+WORLDCUP!BD69</f>
        <v>Croacia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Países Bajos</v>
      </c>
      <c r="G293" s="9" t="str">
        <f ca="1">+WORLDCUP!BD58</f>
        <v>República Checa</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Noruega</v>
      </c>
      <c r="H294" s="9" t="str">
        <f ca="1">+WORLDCUP!BD65</f>
        <v>Arabia Saudita</v>
      </c>
      <c r="I294" s="9" t="str">
        <f ca="1">+WORLDCUP!BD69</f>
        <v>Croacia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Noruega</v>
      </c>
      <c r="H295" s="9" t="str">
        <f ca="1">+WORLDCUP!BD64</f>
        <v>Irán</v>
      </c>
      <c r="I295" s="9" t="str">
        <f ca="1">+WORLDCUP!BD69</f>
        <v>Croacia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Croacia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Noruega</v>
      </c>
      <c r="H297" s="9" t="str">
        <f ca="1">+WORLDCUP!BD65</f>
        <v>Arabia Saudita</v>
      </c>
      <c r="I297" s="9" t="str">
        <f ca="1">+WORLDCUP!BD69</f>
        <v>Croacia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Croacia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Noruega</v>
      </c>
      <c r="H300" s="9" t="str">
        <f ca="1">+WORLDCUP!BD63</f>
        <v>Países Bajos</v>
      </c>
      <c r="I300" s="9" t="str">
        <f ca="1">+WORLDCUP!BD69</f>
        <v>Croacia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Países Bajos</v>
      </c>
      <c r="G301" s="9" t="str">
        <f ca="1">+WORLDCUP!BD58</f>
        <v>República Checa</v>
      </c>
      <c r="H301" s="9" t="str">
        <f ca="1">+WORLDCUP!BD65</f>
        <v>Arabia Saudita</v>
      </c>
      <c r="I301" s="9" t="str">
        <f ca="1">+WORLDCUP!BD69</f>
        <v>Croacia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Noruega</v>
      </c>
      <c r="E302" s="9" t="str">
        <f ca="1">+WORLDCUP!BD59</f>
        <v>Bosnia y Herzegovina</v>
      </c>
      <c r="F302" s="9" t="str">
        <f ca="1">+WORLDCUP!BD63</f>
        <v>Países Bajos</v>
      </c>
      <c r="G302" s="9" t="str">
        <f ca="1">+WORLDCUP!BD58</f>
        <v>República Checa</v>
      </c>
      <c r="H302" s="9" t="str">
        <f ca="1">+WORLDCUP!BD65</f>
        <v>Arabia Saudita</v>
      </c>
      <c r="I302" s="9" t="str">
        <f ca="1">+WORLDCUP!BD69</f>
        <v>Croacia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Países Bajos</v>
      </c>
      <c r="G303" s="9" t="str">
        <f ca="1">+WORLDCUP!BD58</f>
        <v>República Checa</v>
      </c>
      <c r="H303" s="9" t="str">
        <f ca="1">+WORLDCUP!BD65</f>
        <v>Arabia Saudita</v>
      </c>
      <c r="I303" s="9" t="str">
        <f ca="1">+WORLDCUP!BD69</f>
        <v>Croacia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Países Bajos</v>
      </c>
      <c r="G304" s="9" t="str">
        <f ca="1">+WORLDCUP!BD58</f>
        <v>República Checa</v>
      </c>
      <c r="H304" s="9" t="str">
        <f ca="1">+WORLDCUP!BD65</f>
        <v>Arabia Saudita</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Países Bajos</v>
      </c>
      <c r="G305" s="9" t="str">
        <f ca="1">+WORLDCUP!BD58</f>
        <v>República Checa</v>
      </c>
      <c r="H305" s="9" t="str">
        <f ca="1">+WORLDCUP!BD64</f>
        <v>Irán</v>
      </c>
      <c r="I305" s="9" t="str">
        <f ca="1">+WORLDCUP!BD69</f>
        <v>Croacia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Noruega</v>
      </c>
      <c r="H306" s="9" t="str">
        <f ca="1">+WORLDCUP!BD63</f>
        <v>Países Bajos</v>
      </c>
      <c r="I306" s="9" t="str">
        <f ca="1">+WORLDCUP!BD69</f>
        <v>Croacia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Países Bajos</v>
      </c>
      <c r="G307" s="9" t="str">
        <f ca="1">+WORLDCUP!BD58</f>
        <v>República Checa</v>
      </c>
      <c r="H307" s="9" t="str">
        <f ca="1">+WORLDCUP!BD64</f>
        <v>Irán</v>
      </c>
      <c r="I307" s="9" t="str">
        <f ca="1">+WORLDCUP!BD69</f>
        <v>Croacia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Países Bajos</v>
      </c>
      <c r="G308" s="9" t="str">
        <f ca="1">+WORLDCUP!BD58</f>
        <v>República Checa</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Países Bajos</v>
      </c>
      <c r="G309" s="9" t="str">
        <f ca="1">+WORLDCUP!BD58</f>
        <v>República Checa</v>
      </c>
      <c r="H309" s="9" t="str">
        <f ca="1">+WORLDCUP!BD65</f>
        <v>Arabia Saudita</v>
      </c>
      <c r="I309" s="9" t="str">
        <f ca="1">+WORLDCUP!BD69</f>
        <v>Croacia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Países Bajos</v>
      </c>
      <c r="G310" s="9" t="str">
        <f ca="1">+WORLDCUP!BD58</f>
        <v>República Checa</v>
      </c>
      <c r="H310" s="9" t="str">
        <f ca="1">+WORLDCUP!BD64</f>
        <v>Irán</v>
      </c>
      <c r="I310" s="9" t="str">
        <f ca="1">+WORLDCUP!BD69</f>
        <v>Croacia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Países Bajos</v>
      </c>
      <c r="G311" s="9" t="str">
        <f ca="1">+WORLDCUP!BD58</f>
        <v>República Checa</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Países Bajos</v>
      </c>
      <c r="G312" s="9" t="str">
        <f ca="1">+WORLDCUP!BD58</f>
        <v>República Checa</v>
      </c>
      <c r="H312" s="9" t="str">
        <f ca="1">+WORLDCUP!BD65</f>
        <v>Arabia Saudita</v>
      </c>
      <c r="I312" s="9" t="str">
        <f ca="1">+WORLDCUP!BD69</f>
        <v>Croacia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Países Bajos</v>
      </c>
      <c r="G313" s="9" t="str">
        <f ca="1">+WORLDCUP!BD58</f>
        <v>República Checa</v>
      </c>
      <c r="H313" s="9" t="str">
        <f ca="1">+WORLDCUP!BD65</f>
        <v>Arabia Saudita</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Países Bajos</v>
      </c>
      <c r="G314" s="9" t="str">
        <f ca="1">+WORLDCUP!BD58</f>
        <v>República Checa</v>
      </c>
      <c r="H314" s="9" t="str">
        <f ca="1">+WORLDCUP!BD64</f>
        <v>Irán</v>
      </c>
      <c r="I314" s="9" t="str">
        <f ca="1">+WORLDCUP!BD62</f>
        <v>Ecuador</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Croacia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Croacia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Croacia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Croacia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Croacia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Argelia</v>
      </c>
      <c r="E321" s="9" t="str">
        <f ca="1">+WORLDCUP!BD59</f>
        <v>Bosnia y Herzegovina</v>
      </c>
      <c r="F321" s="9" t="str">
        <f ca="1">+WORLDCUP!BD61</f>
        <v>Paraguay</v>
      </c>
      <c r="G321" s="9" t="str">
        <f ca="1">+WORLDCUP!BD58</f>
        <v>República Checa</v>
      </c>
      <c r="H321" s="9" t="str">
        <f ca="1">+WORLDCUP!BD63</f>
        <v>Países Bajos</v>
      </c>
      <c r="I321" s="9" t="str">
        <f ca="1">+WORLDCUP!BD69</f>
        <v>Croacia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Países Bajos</v>
      </c>
      <c r="I322" s="9" t="str">
        <f ca="1">+WORLDCUP!BD69</f>
        <v>Croacia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Noruega</v>
      </c>
      <c r="E323" s="9" t="str">
        <f ca="1">+WORLDCUP!BD59</f>
        <v>Bosnia y Herzegovina</v>
      </c>
      <c r="F323" s="9" t="str">
        <f ca="1">+WORLDCUP!BD61</f>
        <v>Paraguay</v>
      </c>
      <c r="G323" s="9" t="str">
        <f ca="1">+WORLDCUP!BD58</f>
        <v>República Checa</v>
      </c>
      <c r="H323" s="9" t="str">
        <f ca="1">+WORLDCUP!BD63</f>
        <v>Países Bajos</v>
      </c>
      <c r="I323" s="9" t="str">
        <f ca="1">+WORLDCUP!BD69</f>
        <v>Croacia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Países Bajos</v>
      </c>
      <c r="I324" s="9" t="str">
        <f ca="1">+WORLDCUP!BD69</f>
        <v>Croacia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Países Bajos</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Países Bajos</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Croacia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Paraguay</v>
      </c>
      <c r="G327" s="9" t="str">
        <f ca="1">+WORLDCUP!BD58</f>
        <v>República Checa</v>
      </c>
      <c r="H327" s="9" t="str">
        <f ca="1">+WORLDCUP!BD63</f>
        <v>Países Bajos</v>
      </c>
      <c r="I327" s="9" t="str">
        <f ca="1">+WORLDCUP!BD69</f>
        <v>Croacia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Países Bajos</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Croacia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Países Bajos</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Países Bajos</v>
      </c>
      <c r="I330" s="9" t="str">
        <f ca="1">+WORLDCUP!BD69</f>
        <v>Croacia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Países Bajos</v>
      </c>
      <c r="I331" s="9" t="str">
        <f ca="1">+WORLDCUP!BD69</f>
        <v>Croacia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Países Bajos</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Países Bajos</v>
      </c>
      <c r="I333" s="9" t="str">
        <f ca="1">+WORLDCUP!BD69</f>
        <v>Croacia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Países Bajos</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Países Bajos</v>
      </c>
      <c r="I335" s="9" t="str">
        <f ca="1">+WORLDCUP!BD66</f>
        <v>Noruega</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Noruega</v>
      </c>
      <c r="H336" s="9" t="str">
        <f ca="1">+WORLDCUP!BD61</f>
        <v>Paraguay</v>
      </c>
      <c r="I336" s="9" t="str">
        <f ca="1">+WORLDCUP!BD69</f>
        <v>Croacia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Croacia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Noruega</v>
      </c>
      <c r="E338" s="9" t="str">
        <f ca="1">+WORLDCUP!BD59</f>
        <v>Bosnia y Herzegovina</v>
      </c>
      <c r="F338" s="9" t="str">
        <f ca="1">+WORLDCUP!BD61</f>
        <v>Paraguay</v>
      </c>
      <c r="G338" s="9" t="str">
        <f ca="1">+WORLDCUP!BD58</f>
        <v>República Checa</v>
      </c>
      <c r="H338" s="9" t="str">
        <f ca="1">+WORLDCUP!BD65</f>
        <v>Arabia Saudita</v>
      </c>
      <c r="I338" s="9" t="str">
        <f ca="1">+WORLDCUP!BD69</f>
        <v>Croacia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Croacia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Croacia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Noruega</v>
      </c>
      <c r="H342" s="9" t="str">
        <f ca="1">+WORLDCUP!BD61</f>
        <v>Paraguay</v>
      </c>
      <c r="I342" s="9" t="str">
        <f ca="1">+WORLDCUP!BD69</f>
        <v>Croacia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Croacia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Croacia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Croacia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Croacia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Ecuador</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Países Bajos</v>
      </c>
      <c r="I351" s="9" t="str">
        <f ca="1">+WORLDCUP!BD69</f>
        <v>Croacia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Noruega</v>
      </c>
      <c r="E352" s="9" t="str">
        <f ca="1">+WORLDCUP!BD59</f>
        <v>Bosnia y Herzegovina</v>
      </c>
      <c r="F352" s="9" t="str">
        <f ca="1">+WORLDCUP!BD61</f>
        <v>Paraguay</v>
      </c>
      <c r="G352" s="9" t="str">
        <f ca="1">+WORLDCUP!BD58</f>
        <v>República Checa</v>
      </c>
      <c r="H352" s="9" t="str">
        <f ca="1">+WORLDCUP!BD63</f>
        <v>Países Bajos</v>
      </c>
      <c r="I352" s="9" t="str">
        <f ca="1">+WORLDCUP!BD69</f>
        <v>Croacia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Países Bajos</v>
      </c>
      <c r="I353" s="9" t="str">
        <f ca="1">+WORLDCUP!BD69</f>
        <v>Croacia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Países Bajos</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República Checa</v>
      </c>
      <c r="H355" s="9" t="str">
        <f ca="1">+WORLDCUP!BD63</f>
        <v>Países Bajos</v>
      </c>
      <c r="I355" s="9" t="str">
        <f ca="1">+WORLDCUP!BD69</f>
        <v>Croacia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Países Bajos</v>
      </c>
      <c r="I356" s="9" t="str">
        <f ca="1">+WORLDCUP!BD69</f>
        <v>Croacia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Países Bajos</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República Checa</v>
      </c>
      <c r="H358" s="9" t="str">
        <f ca="1">+WORLDCUP!BD63</f>
        <v>Países Bajos</v>
      </c>
      <c r="I358" s="9" t="str">
        <f ca="1">+WORLDCUP!BD69</f>
        <v>Croacia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República Checa</v>
      </c>
      <c r="H359" s="9" t="str">
        <f ca="1">+WORLDCUP!BD63</f>
        <v>Países Bajos</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Países Bajos</v>
      </c>
      <c r="I360" s="9" t="str">
        <f ca="1">+WORLDCUP!BD62</f>
        <v>Ecuador</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República Checa</v>
      </c>
      <c r="H361" s="9" t="str">
        <f ca="1">+WORLDCUP!BD63</f>
        <v>Países Bajos</v>
      </c>
      <c r="I361" s="9" t="str">
        <f ca="1">+WORLDCUP!BD69</f>
        <v>Croacia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República Checa</v>
      </c>
      <c r="H362" s="9" t="str">
        <f ca="1">+WORLDCUP!BD63</f>
        <v>Países Bajos</v>
      </c>
      <c r="I362" s="9" t="str">
        <f ca="1">+WORLDCUP!BD69</f>
        <v>Croacia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República Checa</v>
      </c>
      <c r="H363" s="9" t="str">
        <f ca="1">+WORLDCUP!BD63</f>
        <v>Países Bajos</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República Checa</v>
      </c>
      <c r="H364" s="9" t="str">
        <f ca="1">+WORLDCUP!BD63</f>
        <v>Países Bajos</v>
      </c>
      <c r="I364" s="9" t="str">
        <f ca="1">+WORLDCUP!BD69</f>
        <v>Croacia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República Checa</v>
      </c>
      <c r="H365" s="9" t="str">
        <f ca="1">+WORLDCUP!BD63</f>
        <v>Países Bajos</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República Checa</v>
      </c>
      <c r="H366" s="9" t="str">
        <f ca="1">+WORLDCUP!BD63</f>
        <v>Países Bajos</v>
      </c>
      <c r="I366" s="9" t="str">
        <f ca="1">+WORLDCUP!BD66</f>
        <v>Noruega</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Países Bajos</v>
      </c>
      <c r="I367" s="9" t="str">
        <f ca="1">+WORLDCUP!BD69</f>
        <v>Croacia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Países Bajos</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Países Bajos</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Países Bajos</v>
      </c>
      <c r="I370" s="9" t="str">
        <f ca="1">+WORLDCUP!BD62</f>
        <v>Ecuador</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Croacia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Croacia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Croacia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Croacia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Croacia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República Checa</v>
      </c>
      <c r="H377" s="9" t="str">
        <f ca="1">+WORLDCUP!BD63</f>
        <v>Países Bajos</v>
      </c>
      <c r="I377" s="9" t="str">
        <f ca="1">+WORLDCUP!BD69</f>
        <v>Croacia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Países Bajos</v>
      </c>
      <c r="I378" s="9" t="str">
        <f ca="1">+WORLDCUP!BD69</f>
        <v>Croacia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República Checa</v>
      </c>
      <c r="H379" s="9" t="str">
        <f ca="1">+WORLDCUP!BD63</f>
        <v>Países Bajos</v>
      </c>
      <c r="I379" s="9" t="str">
        <f ca="1">+WORLDCUP!BD69</f>
        <v>Croacia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Países Bajos</v>
      </c>
      <c r="I380" s="9" t="str">
        <f ca="1">+WORLDCUP!BD69</f>
        <v>Croacia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Países Bajos</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Países Bajos</v>
      </c>
      <c r="G382" s="9" t="str">
        <f ca="1">+WORLDCUP!BD58</f>
        <v>República Checa</v>
      </c>
      <c r="H382" s="9" t="str">
        <f ca="1">+WORLDCUP!BD64</f>
        <v>Irán</v>
      </c>
      <c r="I382" s="9" t="str">
        <f ca="1">+WORLDCUP!BD69</f>
        <v>Croacia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República Checa</v>
      </c>
      <c r="H383" s="9" t="str">
        <f ca="1">+WORLDCUP!BD63</f>
        <v>Países Bajos</v>
      </c>
      <c r="I383" s="9" t="str">
        <f ca="1">+WORLDCUP!BD69</f>
        <v>Croacia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Países Bajos</v>
      </c>
      <c r="G384" s="9" t="str">
        <f ca="1">+WORLDCUP!BD58</f>
        <v>República Checa</v>
      </c>
      <c r="H384" s="9" t="str">
        <f ca="1">+WORLDCUP!BD64</f>
        <v>Irán</v>
      </c>
      <c r="I384" s="9" t="str">
        <f ca="1">+WORLDCUP!BD69</f>
        <v>Croacia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Países Bajos</v>
      </c>
      <c r="G385" s="9" t="str">
        <f ca="1">+WORLDCUP!BD58</f>
        <v>República Checa</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Países Bajos</v>
      </c>
      <c r="I386" s="9" t="str">
        <f ca="1">+WORLDCUP!BD69</f>
        <v>Croacia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Países Bajos</v>
      </c>
      <c r="I387" s="9" t="str">
        <f ca="1">+WORLDCUP!BD69</f>
        <v>Croacia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Países Bajos</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Países Bajos</v>
      </c>
      <c r="I389" s="9" t="str">
        <f ca="1">+WORLDCUP!BD69</f>
        <v>Croacia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Países Bajos</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Países Bajos</v>
      </c>
      <c r="I391" s="9" t="str">
        <f ca="1">+WORLDCUP!BD66</f>
        <v>Noruega</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Noruega</v>
      </c>
      <c r="H392" s="9" t="str">
        <f ca="1">+WORLDCUP!BD60</f>
        <v>Escocia</v>
      </c>
      <c r="I392" s="9" t="str">
        <f ca="1">+WORLDCUP!BD69</f>
        <v>Croacia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Croacia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República Checa</v>
      </c>
      <c r="H394" s="9" t="str">
        <f ca="1">+WORLDCUP!BD65</f>
        <v>Arabia Saudita</v>
      </c>
      <c r="I394" s="9" t="str">
        <f ca="1">+WORLDCUP!BD69</f>
        <v>Croacia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Croacia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Croacia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Noruega</v>
      </c>
      <c r="H398" s="9" t="str">
        <f ca="1">+WORLDCUP!BD60</f>
        <v>Escocia</v>
      </c>
      <c r="I398" s="9" t="str">
        <f ca="1">+WORLDCUP!BD69</f>
        <v>Croacia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Croacia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Croacia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Croacia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Croacia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Países Bajos</v>
      </c>
      <c r="I407" s="9" t="str">
        <f ca="1">+WORLDCUP!BD69</f>
        <v>Croacia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República Checa</v>
      </c>
      <c r="H408" s="9" t="str">
        <f ca="1">+WORLDCUP!BD63</f>
        <v>Países Bajos</v>
      </c>
      <c r="I408" s="9" t="str">
        <f ca="1">+WORLDCUP!BD69</f>
        <v>Croacia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Países Bajos</v>
      </c>
      <c r="I409" s="9" t="str">
        <f ca="1">+WORLDCUP!BD69</f>
        <v>Croacia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Países Bajos</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Países Bajos</v>
      </c>
      <c r="I411" s="9" t="str">
        <f ca="1">+WORLDCUP!BD69</f>
        <v>Croacia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Países Bajos</v>
      </c>
      <c r="I412" s="9" t="str">
        <f ca="1">+WORLDCUP!BD69</f>
        <v>Croacia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Países Bajos</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Países Bajos</v>
      </c>
      <c r="I414" s="9" t="str">
        <f ca="1">+WORLDCUP!BD69</f>
        <v>Croacia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Países Bajos</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Países Bajos</v>
      </c>
      <c r="I416" s="9" t="str">
        <f ca="1">+WORLDCUP!BD62</f>
        <v>Ecuador</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Países Bajos</v>
      </c>
      <c r="I417" s="9" t="str">
        <f ca="1">+WORLDCUP!BD69</f>
        <v>Croacia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Países Bajos</v>
      </c>
      <c r="I418" s="9" t="str">
        <f ca="1">+WORLDCUP!BD69</f>
        <v>Croacia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Países Bajos</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Países Bajos</v>
      </c>
      <c r="I420" s="9" t="str">
        <f ca="1">+WORLDCUP!BD69</f>
        <v>Croacia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Países Bajos</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Países Bajos</v>
      </c>
      <c r="I422" s="9" t="str">
        <f ca="1">+WORLDCUP!BD66</f>
        <v>Noruega</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Países Bajos</v>
      </c>
      <c r="I423" s="9" t="str">
        <f ca="1">+WORLDCUP!BD69</f>
        <v>Croacia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Países Bajos</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Países Bajos</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Países Bajos</v>
      </c>
      <c r="I426" s="9" t="str">
        <f ca="1">+WORLDCUP!BD62</f>
        <v>Ecuador</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Croacia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Croacia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República Checa</v>
      </c>
      <c r="H429" s="9" t="str">
        <f ca="1">+WORLDCUP!BD61</f>
        <v>Paraguay</v>
      </c>
      <c r="I429" s="9" t="str">
        <f ca="1">+WORLDCUP!BD69</f>
        <v>Croacia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Croacia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Croacia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Croacia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Croacia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Croacia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Croacia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Croacia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Noruega</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Países Bajos</v>
      </c>
      <c r="I442" s="9" t="str">
        <f ca="1">+WORLDCUP!BD69</f>
        <v>Croacia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Paraguay</v>
      </c>
      <c r="G443" s="9" t="str">
        <f ca="1">+WORLDCUP!BD58</f>
        <v>República Checa</v>
      </c>
      <c r="H443" s="9" t="str">
        <f ca="1">+WORLDCUP!BD63</f>
        <v>Países Bajos</v>
      </c>
      <c r="I443" s="9" t="str">
        <f ca="1">+WORLDCUP!BD69</f>
        <v>Croacia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Países Bajos</v>
      </c>
      <c r="I444" s="9" t="str">
        <f ca="1">+WORLDCUP!BD69</f>
        <v>Croacia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Países Bajos</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Países Bajos</v>
      </c>
      <c r="E446" s="9" t="str">
        <f ca="1">+WORLDCUP!BD59</f>
        <v>Bosnia y Herzegovina</v>
      </c>
      <c r="F446" s="9" t="str">
        <f ca="1">+WORLDCUP!BD60</f>
        <v>Escocia</v>
      </c>
      <c r="G446" s="9" t="str">
        <f ca="1">+WORLDCUP!BD58</f>
        <v>República Checa</v>
      </c>
      <c r="H446" s="9" t="str">
        <f ca="1">+WORLDCUP!BD61</f>
        <v>Paraguay</v>
      </c>
      <c r="I446" s="9" t="str">
        <f ca="1">+WORLDCUP!BD69</f>
        <v>Croacia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Países Bajos</v>
      </c>
      <c r="I447" s="9" t="str">
        <f ca="1">+WORLDCUP!BD69</f>
        <v>Croacia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Países Bajos</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Países Bajos</v>
      </c>
      <c r="E449" s="9" t="str">
        <f ca="1">+WORLDCUP!BD59</f>
        <v>Bosnia y Herzegovina</v>
      </c>
      <c r="F449" s="9" t="str">
        <f ca="1">+WORLDCUP!BD60</f>
        <v>Escocia</v>
      </c>
      <c r="G449" s="9" t="str">
        <f ca="1">+WORLDCUP!BD58</f>
        <v>República Checa</v>
      </c>
      <c r="H449" s="9" t="str">
        <f ca="1">+WORLDCUP!BD61</f>
        <v>Paraguay</v>
      </c>
      <c r="I449" s="9" t="str">
        <f ca="1">+WORLDCUP!BD69</f>
        <v>Croacia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Países Bajos</v>
      </c>
      <c r="E450" s="9" t="str">
        <f ca="1">+WORLDCUP!BD59</f>
        <v>Bosnia y Herzegovina</v>
      </c>
      <c r="F450" s="9" t="str">
        <f ca="1">+WORLDCUP!BD60</f>
        <v>Escocia</v>
      </c>
      <c r="G450" s="9" t="str">
        <f ca="1">+WORLDCUP!BD58</f>
        <v>República Checa</v>
      </c>
      <c r="H450" s="9" t="str">
        <f ca="1">+WORLDCUP!BD61</f>
        <v>Paraguay</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Países Bajos</v>
      </c>
      <c r="I451" s="9" t="str">
        <f ca="1">+WORLDCUP!BD61</f>
        <v>Paraguay</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Países Bajos</v>
      </c>
      <c r="I452" s="9" t="str">
        <f ca="1">+WORLDCUP!BD69</f>
        <v>Croacia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Países Bajos</v>
      </c>
      <c r="I453" s="9" t="str">
        <f ca="1">+WORLDCUP!BD69</f>
        <v>Croacia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Países Bajos</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Países Bajos</v>
      </c>
      <c r="I455" s="9" t="str">
        <f ca="1">+WORLDCUP!BD69</f>
        <v>Croacia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Países Bajos</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Países Bajos</v>
      </c>
      <c r="I457" s="9" t="str">
        <f ca="1">+WORLDCUP!BD66</f>
        <v>Noruega</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Países Bajos</v>
      </c>
      <c r="I458" s="9" t="str">
        <f ca="1">+WORLDCUP!BD69</f>
        <v>Croacia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Países Bajos</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Países Bajos</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Países Bajos</v>
      </c>
      <c r="I461" s="9" t="str">
        <f ca="1">+WORLDCUP!BD61</f>
        <v>Paraguay</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Croacia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República Checa</v>
      </c>
      <c r="H463" s="9" t="str">
        <f ca="1">+WORLDCUP!BD61</f>
        <v>Paraguay</v>
      </c>
      <c r="I463" s="9" t="str">
        <f ca="1">+WORLDCUP!BD69</f>
        <v>Croacia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Croacia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Paraguay</v>
      </c>
      <c r="I466" s="9" t="str">
        <f ca="1">+WORLDCUP!BD69</f>
        <v>Croacia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Croacia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Paraguay</v>
      </c>
      <c r="I469" s="9" t="str">
        <f ca="1">+WORLDCUP!BD69</f>
        <v>Croacia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Paraguay</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Ecuador</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Croacia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Croacia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Croacia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Noruega</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Croacia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Ecuador</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República Checa</v>
      </c>
      <c r="H482" s="9" t="str">
        <f ca="1">+WORLDCUP!BD63</f>
        <v>Países Bajos</v>
      </c>
      <c r="I482" s="9" t="str">
        <f ca="1">+WORLDCUP!BD69</f>
        <v>Croacia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Países Bajos</v>
      </c>
      <c r="I483" s="9" t="str">
        <f ca="1">+WORLDCUP!BD69</f>
        <v>Croacia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Países Bajos</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República Checa</v>
      </c>
      <c r="H485" s="9" t="str">
        <f ca="1">+WORLDCUP!BD63</f>
        <v>Países Bajos</v>
      </c>
      <c r="I485" s="9" t="str">
        <f ca="1">+WORLDCUP!BD69</f>
        <v>Croacia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República Checa</v>
      </c>
      <c r="H486" s="9" t="str">
        <f ca="1">+WORLDCUP!BD63</f>
        <v>Países Bajos</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Países Bajos</v>
      </c>
      <c r="I487" s="9" t="str">
        <f ca="1">+WORLDCUP!BD62</f>
        <v>Ecuador</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Países Bajos</v>
      </c>
      <c r="E488" s="9" t="str">
        <f ca="1">+WORLDCUP!BD59</f>
        <v>Bosnia y Herzegovina</v>
      </c>
      <c r="F488" s="9" t="str">
        <f ca="1">+WORLDCUP!BD60</f>
        <v>Escocia</v>
      </c>
      <c r="G488" s="9" t="str">
        <f ca="1">+WORLDCUP!BD58</f>
        <v>República Checa</v>
      </c>
      <c r="H488" s="9" t="str">
        <f ca="1">+WORLDCUP!BD61</f>
        <v>Paraguay</v>
      </c>
      <c r="I488" s="9" t="str">
        <f ca="1">+WORLDCUP!BD69</f>
        <v>Croacia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Países Bajos</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Países Bajos</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Países Bajos</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Países Bajos</v>
      </c>
      <c r="I492" s="9" t="str">
        <f ca="1">+WORLDCUP!BD69</f>
        <v>Croacia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Países Bajos</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Países Bajos</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Países Bajos</v>
      </c>
      <c r="I495" s="9" t="str">
        <f ca="1">+WORLDCUP!BD62</f>
        <v>Ecuador</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Países Bajos</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75">
      <c r="L89" s="3"/>
      <c r="M89" s="3"/>
      <c r="N89" s="3"/>
      <c r="O89" s="6"/>
      <c r="P89" s="6"/>
      <c r="Q89" s="6"/>
      <c r="R89" s="6"/>
      <c r="T89" s="16" t="s">
        <v>1479</v>
      </c>
      <c r="U89" s="9" t="s">
        <v>1466</v>
      </c>
      <c r="V89" s="9" t="s">
        <v>1466</v>
      </c>
      <c r="W89" s="585" t="s">
        <v>1468</v>
      </c>
      <c r="X89" s="584" t="e" vm="3">
        <v>#VALUE!</v>
      </c>
      <c r="Y89" s="9">
        <v>-4</v>
      </c>
      <c r="Z89" s="6"/>
      <c r="AA89" s="6"/>
      <c r="AB89" s="6"/>
    </row>
    <row r="90" spans="12:28" ht="15.75">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9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9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9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9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9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9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9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9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9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9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9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9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9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9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9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9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9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9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9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9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9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9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9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9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9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9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9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9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9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9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9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9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9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9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9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9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9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9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9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9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9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9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CangelAire</cp:lastModifiedBy>
  <cp:lastPrinted>2018-12-06T18:06:35Z</cp:lastPrinted>
  <dcterms:created xsi:type="dcterms:W3CDTF">2015-10-31T09:41:54Z</dcterms:created>
  <dcterms:modified xsi:type="dcterms:W3CDTF">2026-06-11T16:25:58Z</dcterms:modified>
</cp:coreProperties>
</file>