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autoCompressPictures="0" defaultThemeVersion="124226"/>
  <mc:AlternateContent xmlns:mc="http://schemas.openxmlformats.org/markup-compatibility/2006">
    <mc:Choice Requires="x15">
      <x15ac:absPath xmlns:x15ac="http://schemas.microsoft.com/office/spreadsheetml/2010/11/ac" url="/Users/usuario/Downloads/"/>
    </mc:Choice>
  </mc:AlternateContent>
  <xr:revisionPtr revIDLastSave="0" documentId="8_{DFA33797-7A41-2348-ADC5-203366F13658}"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0" yWindow="660" windowWidth="34560" windowHeight="2168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13" i="31" l="1"/>
  <c r="F28" i="45"/>
  <c r="B60" i="31"/>
  <c r="C31"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20"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53" i="32" s="1"/>
  <c r="Y53" i="3" s="1"/>
  <c r="V15" i="32"/>
  <c r="V7" i="32"/>
  <c r="V22" i="32"/>
  <c r="V21" i="32"/>
  <c r="V5" i="32"/>
  <c r="V33" i="32"/>
  <c r="V10" i="32"/>
  <c r="V8" i="32"/>
  <c r="V27" i="32"/>
  <c r="V32" i="32"/>
  <c r="V41" i="32"/>
  <c r="V42" i="32"/>
  <c r="BR6" i="3"/>
  <c r="BS26" i="3" s="1"/>
  <c r="V26" i="32"/>
  <c r="V30" i="32"/>
  <c r="AY101" i="3"/>
  <c r="AK99" i="3"/>
  <c r="C143" i="32" l="1"/>
  <c r="C125" i="32"/>
  <c r="C56" i="32"/>
  <c r="C7" i="32"/>
  <c r="C61" i="32"/>
  <c r="C29" i="32"/>
  <c r="C64" i="32"/>
  <c r="C81" i="32"/>
  <c r="C116" i="32"/>
  <c r="C108" i="32"/>
  <c r="C49" i="32"/>
  <c r="C95" i="32"/>
  <c r="C16" i="32"/>
  <c r="C25" i="32"/>
  <c r="C138" i="32"/>
  <c r="C115" i="32"/>
  <c r="C105" i="32"/>
  <c r="C17" i="32"/>
  <c r="C23" i="32"/>
  <c r="C65" i="32"/>
  <c r="Y65" i="3" s="1"/>
  <c r="C14" i="32"/>
  <c r="C9" i="32"/>
  <c r="C37" i="32"/>
  <c r="C110" i="32"/>
  <c r="C79" i="32"/>
  <c r="C6" i="32"/>
  <c r="C31" i="32"/>
  <c r="C94" i="32"/>
  <c r="C103" i="32"/>
  <c r="C38" i="32"/>
  <c r="Y38" i="3" s="1"/>
  <c r="C20" i="32"/>
  <c r="C45" i="32"/>
  <c r="C86" i="32"/>
  <c r="C139" i="32"/>
  <c r="C12" i="32"/>
  <c r="C92" i="32"/>
  <c r="C78" i="32"/>
  <c r="C113" i="32"/>
  <c r="C21" i="32"/>
  <c r="C13" i="32"/>
  <c r="C62" i="32"/>
  <c r="C33" i="32"/>
  <c r="C28" i="32"/>
  <c r="C55" i="32"/>
  <c r="C85" i="32"/>
  <c r="C106" i="32"/>
  <c r="C93" i="32"/>
  <c r="C54" i="32"/>
  <c r="C5" i="32"/>
  <c r="C101" i="32"/>
  <c r="C69" i="32"/>
  <c r="C84" i="32"/>
  <c r="C88" i="32"/>
  <c r="C60" i="32"/>
  <c r="C120" i="32"/>
  <c r="C134" i="32"/>
  <c r="C41" i="32"/>
  <c r="C127" i="32"/>
  <c r="C4" i="32"/>
  <c r="C114" i="32"/>
  <c r="C102" i="32"/>
  <c r="C57" i="32"/>
  <c r="C122" i="32"/>
  <c r="C48" i="32"/>
  <c r="C124" i="32"/>
  <c r="C121" i="32"/>
  <c r="C133" i="32"/>
  <c r="C63" i="32"/>
  <c r="C68" i="32"/>
  <c r="C32" i="32"/>
  <c r="Y32" i="3" s="1"/>
  <c r="C30" i="32"/>
  <c r="X30" i="3" s="1"/>
  <c r="C107" i="32"/>
  <c r="Y107" i="3" s="1"/>
  <c r="C72" i="32"/>
  <c r="X72" i="3" s="1"/>
  <c r="C22" i="32"/>
  <c r="C123" i="32"/>
  <c r="C24" i="32"/>
  <c r="C89" i="32"/>
  <c r="C112" i="32"/>
  <c r="X112" i="3" s="1"/>
  <c r="C46" i="32"/>
  <c r="X46" i="3" s="1"/>
  <c r="C8" i="32"/>
  <c r="X8" i="3" s="1"/>
  <c r="C36" i="32"/>
  <c r="X36" i="3" s="1"/>
  <c r="C47" i="32"/>
  <c r="C76" i="32"/>
  <c r="C104" i="32"/>
  <c r="X104" i="3" s="1"/>
  <c r="C132" i="32"/>
  <c r="Y132" i="3" s="1"/>
  <c r="C111" i="32"/>
  <c r="Y111" i="3" s="1"/>
  <c r="C126" i="32"/>
  <c r="Y126" i="3" s="1"/>
  <c r="C15" i="32"/>
  <c r="Y15" i="3" s="1"/>
  <c r="C52" i="32"/>
  <c r="Y52" i="3" s="1"/>
  <c r="C131" i="32"/>
  <c r="Y131" i="3" s="1"/>
  <c r="C44" i="32"/>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X53" i="3"/>
  <c r="X131" i="3"/>
  <c r="Y104" i="3"/>
  <c r="X38" i="3"/>
  <c r="X65" i="3"/>
  <c r="Y115" i="3" l="1"/>
  <c r="X115" i="3"/>
  <c r="Y125" i="3"/>
  <c r="X125" i="3"/>
  <c r="X61" i="3"/>
  <c r="Y61" i="3"/>
  <c r="Y29" i="3"/>
  <c r="X29" i="3"/>
  <c r="X81" i="3"/>
  <c r="Y81" i="3"/>
  <c r="X116" i="3"/>
  <c r="Y116" i="3"/>
  <c r="Y108" i="3"/>
  <c r="X108" i="3"/>
  <c r="X49" i="3"/>
  <c r="Y49" i="3"/>
  <c r="X95" i="3"/>
  <c r="Y95" i="3"/>
  <c r="X105" i="3"/>
  <c r="Y105" i="3"/>
  <c r="X14" i="3"/>
  <c r="Y14" i="3"/>
  <c r="X37" i="3"/>
  <c r="Y37" i="3"/>
  <c r="Y31" i="3"/>
  <c r="X31" i="3"/>
  <c r="X102" i="3"/>
  <c r="Y102" i="3"/>
  <c r="X121" i="3"/>
  <c r="Y121" i="3"/>
  <c r="Y24" i="3"/>
  <c r="X24" i="3"/>
  <c r="Y89" i="3"/>
  <c r="X89" i="3"/>
  <c r="X22" i="3"/>
  <c r="Y22" i="3"/>
  <c r="X76" i="3"/>
  <c r="Y76" i="3"/>
  <c r="X143" i="3"/>
  <c r="Y143" i="3"/>
  <c r="X56" i="3"/>
  <c r="Y56" i="3"/>
  <c r="X7" i="3"/>
  <c r="Y7" i="3"/>
  <c r="Y64" i="3"/>
  <c r="X64" i="3"/>
  <c r="X16" i="3"/>
  <c r="Y16" i="3"/>
  <c r="X25" i="3"/>
  <c r="Y25" i="3"/>
  <c r="Y138" i="3"/>
  <c r="X138" i="3"/>
  <c r="X17" i="3"/>
  <c r="Y17" i="3"/>
  <c r="X23" i="3"/>
  <c r="Y23" i="3"/>
  <c r="X9" i="3"/>
  <c r="Y9" i="3"/>
  <c r="X110" i="3"/>
  <c r="Y110" i="3"/>
  <c r="Y79" i="3"/>
  <c r="X79" i="3"/>
  <c r="X94" i="3"/>
  <c r="Y94" i="3"/>
  <c r="X103" i="3"/>
  <c r="Y103" i="3"/>
  <c r="Y78" i="3"/>
  <c r="X78" i="3"/>
  <c r="X113" i="3"/>
  <c r="Y113" i="3"/>
  <c r="X21" i="3"/>
  <c r="Y21" i="3"/>
  <c r="Y62" i="3"/>
  <c r="X62" i="3"/>
  <c r="X28" i="3"/>
  <c r="Y28" i="3"/>
  <c r="Y106" i="3"/>
  <c r="X106" i="3"/>
  <c r="Y101" i="3"/>
  <c r="X101" i="3"/>
  <c r="Y122" i="3"/>
  <c r="X122" i="3"/>
  <c r="Y48" i="3"/>
  <c r="X48" i="3"/>
  <c r="Y124" i="3"/>
  <c r="X124" i="3"/>
  <c r="X133" i="3"/>
  <c r="Y133" i="3"/>
  <c r="Y123" i="3"/>
  <c r="X123" i="3"/>
  <c r="Y47" i="3"/>
  <c r="X47" i="3"/>
  <c r="Y44" i="3"/>
  <c r="X44" i="3"/>
  <c r="X6" i="3"/>
  <c r="Y6" i="3"/>
  <c r="Y20" i="3"/>
  <c r="X20" i="3"/>
  <c r="X45" i="3"/>
  <c r="Y45" i="3"/>
  <c r="X86" i="3"/>
  <c r="Y86" i="3"/>
  <c r="X139" i="3"/>
  <c r="Y139" i="3"/>
  <c r="X12" i="3"/>
  <c r="Y12" i="3"/>
  <c r="X92" i="3"/>
  <c r="Y92" i="3"/>
  <c r="Y13" i="3"/>
  <c r="X13" i="3"/>
  <c r="X33" i="3"/>
  <c r="Y33" i="3"/>
  <c r="Y55" i="3"/>
  <c r="X55" i="3"/>
  <c r="X85" i="3"/>
  <c r="Y85" i="3"/>
  <c r="Y93" i="3"/>
  <c r="X93" i="3"/>
  <c r="Y54" i="3"/>
  <c r="X54" i="3"/>
  <c r="Y5" i="3"/>
  <c r="X5" i="3"/>
  <c r="Y69" i="3"/>
  <c r="X69" i="3"/>
  <c r="X84" i="3"/>
  <c r="Y84" i="3"/>
  <c r="X88" i="3"/>
  <c r="Y88" i="3"/>
  <c r="Y60" i="3"/>
  <c r="X60" i="3"/>
  <c r="X120" i="3"/>
  <c r="Y120" i="3"/>
  <c r="Y134" i="3"/>
  <c r="X134" i="3"/>
  <c r="X41" i="3"/>
  <c r="Y41" i="3"/>
  <c r="X127" i="3"/>
  <c r="Y127" i="3"/>
  <c r="X4" i="3"/>
  <c r="Y4" i="3"/>
  <c r="X114" i="3"/>
  <c r="Y114" i="3"/>
  <c r="Y57" i="3"/>
  <c r="X57" i="3"/>
  <c r="Y63" i="3"/>
  <c r="X63" i="3"/>
  <c r="Y68" i="3"/>
  <c r="X68"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BU28" i="3" s="1"/>
  <c r="E37" i="3"/>
  <c r="BW25" i="3" s="1"/>
  <c r="F40" i="3"/>
  <c r="BU23" i="3" s="1"/>
  <c r="BW24"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F46" i="3"/>
  <c r="BW28" i="3"/>
  <c r="E45" i="3"/>
  <c r="BW29" i="3" s="1"/>
  <c r="F92" i="3"/>
  <c r="F95" i="3"/>
  <c r="E97" i="3"/>
  <c r="BV52" i="3" s="1"/>
  <c r="F81" i="3"/>
  <c r="E76" i="3"/>
  <c r="E78" i="3"/>
  <c r="BW44" i="3" s="1"/>
  <c r="E48" i="3"/>
  <c r="F44" i="3"/>
  <c r="BU26" i="3" s="1"/>
  <c r="F47" i="3"/>
  <c r="E38" i="3"/>
  <c r="BW22" i="3"/>
  <c r="F41" i="3"/>
  <c r="E36" i="3"/>
  <c r="BW23" i="3" s="1"/>
  <c r="E39" i="3"/>
  <c r="F37" i="3"/>
  <c r="BU24" i="3" s="1"/>
  <c r="E41" i="3"/>
  <c r="BW34" i="3"/>
  <c r="E62" i="3"/>
  <c r="E60" i="3"/>
  <c r="BW35" i="3" s="1"/>
  <c r="F65" i="3"/>
  <c r="BU37" i="3" s="1"/>
  <c r="E87" i="3"/>
  <c r="E88" i="3"/>
  <c r="BW46" i="3" s="1"/>
  <c r="F85" i="3"/>
  <c r="BU48" i="3" s="1"/>
  <c r="E14" i="3"/>
  <c r="F13" i="3"/>
  <c r="BU12" i="3" s="1"/>
  <c r="E16" i="3"/>
  <c r="F17" i="3"/>
  <c r="BU11" i="3" s="1"/>
  <c r="F15" i="3"/>
  <c r="E13" i="3"/>
  <c r="E4" i="3"/>
  <c r="E7" i="3"/>
  <c r="F8"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BW43" i="3"/>
  <c r="E80" i="3"/>
  <c r="F76" i="3"/>
  <c r="BW42" i="3" s="1"/>
  <c r="F80" i="3"/>
  <c r="E77" i="3"/>
  <c r="BW45" i="3" s="1"/>
  <c r="F78" i="3"/>
  <c r="BW36" i="3"/>
  <c r="E61" i="3"/>
  <c r="BW37" i="3" s="1"/>
  <c r="F62" i="3"/>
  <c r="BU34" i="3" s="1"/>
  <c r="BU36" i="3"/>
  <c r="F64" i="3"/>
  <c r="BU35" i="3" s="1"/>
  <c r="F72" i="3"/>
  <c r="E68" i="3"/>
  <c r="BW39" i="3" s="1"/>
  <c r="BW38" i="3"/>
  <c r="BU38" i="3"/>
  <c r="E70" i="3"/>
  <c r="BW53" i="3" l="1"/>
  <c r="BU42" i="3"/>
  <c r="BU41" i="3"/>
  <c r="BU25" i="3"/>
  <c r="BU22" i="3"/>
  <c r="BW13" i="3"/>
  <c r="BW10"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V39" i="3"/>
  <c r="BX39" i="3" s="1"/>
  <c r="BV34" i="3"/>
  <c r="BX34" i="3" s="1"/>
  <c r="BV37" i="3"/>
  <c r="BX37" i="3" s="1"/>
  <c r="BV35" i="3"/>
  <c r="BX35" i="3" s="1"/>
  <c r="BW30" i="3"/>
  <c r="BV29" i="3"/>
  <c r="BX29" i="3" s="1"/>
  <c r="BV28" i="3"/>
  <c r="BX28" i="3" s="1"/>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41" i="3" l="1"/>
  <c r="BX22" i="3"/>
  <c r="BX25"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3"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6" i="3" l="1"/>
  <c r="H78" i="3"/>
  <c r="H20" i="3"/>
  <c r="I24" i="3"/>
  <c r="H23" i="3"/>
  <c r="I25" i="3"/>
  <c r="H21" i="3"/>
  <c r="I20" i="3"/>
  <c r="I22" i="3"/>
  <c r="I5"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9" i="3" l="1"/>
  <c r="CB14" i="3"/>
  <c r="CA14" i="3"/>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l="1"/>
  <c r="CC19"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CE52" i="3"/>
  <c r="L97" i="3" s="1"/>
  <c r="CE47" i="3"/>
  <c r="L87" i="3" s="1"/>
  <c r="CE48" i="3"/>
  <c r="CE40" i="3"/>
  <c r="K69" i="3" s="1"/>
  <c r="CE9" i="3"/>
  <c r="L5" i="3" s="1"/>
  <c r="CE43" i="3"/>
  <c r="K80" i="3" s="1"/>
  <c r="CE34" i="3"/>
  <c r="K62" i="3" s="1"/>
  <c r="CE27" i="3"/>
  <c r="L47" i="3" s="1"/>
  <c r="CE17" i="3"/>
  <c r="CE10" i="3"/>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4" i="3" l="1"/>
  <c r="K93" i="3"/>
  <c r="K89" i="3"/>
  <c r="CF48" i="3" s="1"/>
  <c r="L84" i="3"/>
  <c r="K22" i="3"/>
  <c r="K24" i="3"/>
  <c r="K16" i="3"/>
  <c r="L13" i="3"/>
  <c r="K14" i="3"/>
  <c r="L16" i="3"/>
  <c r="K12" i="3"/>
  <c r="K23" i="3"/>
  <c r="L86" i="3"/>
  <c r="L89" i="3"/>
  <c r="K85" i="3"/>
  <c r="L38" i="3"/>
  <c r="K4" i="3"/>
  <c r="K8" i="3"/>
  <c r="K28" i="3"/>
  <c r="L71" i="3"/>
  <c r="K55" i="3"/>
  <c r="L4" i="3"/>
  <c r="L70" i="3"/>
  <c r="L73" i="3"/>
  <c r="L20" i="3"/>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46" i="3"/>
  <c r="CF14"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CH53" i="3"/>
  <c r="CH36" i="3"/>
  <c r="O64" i="3" s="1"/>
  <c r="CH45" i="3"/>
  <c r="N79" i="3" s="1"/>
  <c r="CH44" i="3"/>
  <c r="O80" i="3" s="1"/>
  <c r="CH34" i="3"/>
  <c r="N62" i="3" s="1"/>
  <c r="CH37" i="3"/>
  <c r="N63" i="3" s="1"/>
  <c r="CH16" i="3"/>
  <c r="N21" i="3" s="1"/>
  <c r="CH31" i="3"/>
  <c r="CH21" i="3"/>
  <c r="N31" i="3" s="1"/>
  <c r="CH27" i="3"/>
  <c r="O47" i="3" s="1"/>
  <c r="CH51" i="3"/>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N93" i="3" l="1"/>
  <c r="O94" i="3"/>
  <c r="O97" i="3"/>
  <c r="N95" i="3"/>
  <c r="N96" i="3"/>
  <c r="O92" i="3"/>
  <c r="O95" i="3"/>
  <c r="CI53" i="3"/>
  <c r="O93" i="3"/>
  <c r="CI52" i="3" s="1"/>
  <c r="CI42" i="3"/>
  <c r="CI36" i="3"/>
  <c r="N61" i="3"/>
  <c r="CI31" i="3"/>
  <c r="N56" i="3"/>
  <c r="N48" i="3"/>
  <c r="O44" i="3"/>
  <c r="CI26" i="3" s="1"/>
  <c r="O62" i="3"/>
  <c r="CI27" i="3"/>
  <c r="CI51" i="3"/>
  <c r="N29" i="3"/>
  <c r="CJ50" i="3"/>
  <c r="CI9" i="3"/>
  <c r="CI22" i="3"/>
  <c r="O55" i="3"/>
  <c r="CK33" i="3" s="1"/>
  <c r="O33" i="3"/>
  <c r="N9" i="3"/>
  <c r="N36" i="3"/>
  <c r="O41" i="3"/>
  <c r="O4" i="3"/>
  <c r="O69" i="3"/>
  <c r="CK40" i="3" s="1"/>
  <c r="CI35" i="3"/>
  <c r="N72" i="3"/>
  <c r="CK21" i="3"/>
  <c r="O30" i="3"/>
  <c r="CI18" i="3" s="1"/>
  <c r="N32" i="3"/>
  <c r="N7" i="3"/>
  <c r="O29" i="3"/>
  <c r="CI20" i="3" s="1"/>
  <c r="N49" i="3"/>
  <c r="N52" i="3"/>
  <c r="N54" i="3"/>
  <c r="CK32" i="3" s="1"/>
  <c r="N37" i="3"/>
  <c r="CI25" i="3" s="1"/>
  <c r="CI10" i="3"/>
  <c r="N8" i="3"/>
  <c r="CI6" i="3" s="1"/>
  <c r="CK22" i="3"/>
  <c r="CK41" i="3"/>
  <c r="O52" i="3"/>
  <c r="N97" i="3"/>
  <c r="O77" i="3"/>
  <c r="CI44" i="3" s="1"/>
  <c r="N80" i="3"/>
  <c r="N55" i="3"/>
  <c r="N81" i="3"/>
  <c r="N84" i="3"/>
  <c r="CI45" i="3"/>
  <c r="O5" i="3"/>
  <c r="N47" i="3"/>
  <c r="CK46" i="3"/>
  <c r="CI33" i="3"/>
  <c r="O53" i="3"/>
  <c r="O79" i="3"/>
  <c r="N6" i="3"/>
  <c r="N86" i="3"/>
  <c r="CK48" i="3" s="1"/>
  <c r="O32" i="3"/>
  <c r="CI21" i="3" s="1"/>
  <c r="CI12" i="3"/>
  <c r="CI43" i="3"/>
  <c r="N88" i="3"/>
  <c r="N30" i="3"/>
  <c r="CK6" i="3"/>
  <c r="CK25" i="3"/>
  <c r="N73" i="3"/>
  <c r="N15" i="3"/>
  <c r="O96" i="3"/>
  <c r="CJ53" i="3" s="1"/>
  <c r="CL53" i="3" s="1"/>
  <c r="CK34" i="3"/>
  <c r="CK8" i="3"/>
  <c r="CI39" i="3"/>
  <c r="CK30" i="3"/>
  <c r="N68" i="3"/>
  <c r="CK50" i="3"/>
  <c r="O40" i="3"/>
  <c r="O15" i="3"/>
  <c r="N65" i="3"/>
  <c r="O9" i="3"/>
  <c r="CI7" i="3" s="1"/>
  <c r="CI23" i="3"/>
  <c r="O36" i="3"/>
  <c r="CJ22" i="3" s="1"/>
  <c r="O61" i="3"/>
  <c r="CI8" i="3"/>
  <c r="CI47" i="3"/>
  <c r="CK37" i="3"/>
  <c r="N13" i="3"/>
  <c r="CI13" i="3" s="1"/>
  <c r="O68" i="3"/>
  <c r="O57" i="3"/>
  <c r="O65" i="3"/>
  <c r="N40" i="3"/>
  <c r="O31" i="3"/>
  <c r="CJ21" i="3" s="1"/>
  <c r="N92" i="3"/>
  <c r="CK51" i="3" s="1"/>
  <c r="CK12" i="3"/>
  <c r="N77" i="3"/>
  <c r="CK45" i="3" s="1"/>
  <c r="CI50" i="3"/>
  <c r="O25" i="3"/>
  <c r="CI15" i="3" s="1"/>
  <c r="O37" i="3"/>
  <c r="N5" i="3"/>
  <c r="CJ9" i="3" s="1"/>
  <c r="O72" i="3"/>
  <c r="CI41" i="3" s="1"/>
  <c r="CI38" i="3"/>
  <c r="O84" i="3"/>
  <c r="CI46" i="3" s="1"/>
  <c r="CK39" i="3"/>
  <c r="O87" i="3"/>
  <c r="N60" i="3"/>
  <c r="CK35" i="3" s="1"/>
  <c r="O78" i="3"/>
  <c r="O23" i="3"/>
  <c r="N94" i="3"/>
  <c r="CK52" i="3" s="1"/>
  <c r="N39" i="3"/>
  <c r="CK38" i="3"/>
  <c r="N4" i="3"/>
  <c r="CK7" i="3" s="1"/>
  <c r="CK19" i="3"/>
  <c r="N87" i="3"/>
  <c r="N25" i="3"/>
  <c r="CK16" i="3" s="1"/>
  <c r="O22" i="3"/>
  <c r="N76" i="3"/>
  <c r="O49" i="3"/>
  <c r="CI29" i="3" s="1"/>
  <c r="N46" i="3"/>
  <c r="CJ28" i="3" s="1"/>
  <c r="N53" i="3"/>
  <c r="CK28" i="3"/>
  <c r="N85" i="3"/>
  <c r="N44" i="3"/>
  <c r="CK27" i="3" s="1"/>
  <c r="N12" i="3"/>
  <c r="CI11" i="3" s="1"/>
  <c r="O54" i="3"/>
  <c r="O89" i="3"/>
  <c r="O56" i="3"/>
  <c r="N24" i="3"/>
  <c r="O46" i="3"/>
  <c r="CI28" i="3"/>
  <c r="O21" i="3"/>
  <c r="CI16" i="3" s="1"/>
  <c r="N45" i="3"/>
  <c r="CK29" i="3" s="1"/>
  <c r="N16" i="3"/>
  <c r="CI48" i="3"/>
  <c r="CK26" i="3"/>
  <c r="CJ48" i="3"/>
  <c r="O20" i="3"/>
  <c r="N33" i="3"/>
  <c r="CK10" i="3"/>
  <c r="N69" i="3"/>
  <c r="O73" i="3"/>
  <c r="O60" i="3"/>
  <c r="CI34" i="3" s="1"/>
  <c r="O63" i="3"/>
  <c r="CI37" i="3" s="1"/>
  <c r="CI40" i="3"/>
  <c r="CK11" i="3"/>
  <c r="O70" i="3"/>
  <c r="CK17" i="3"/>
  <c r="N22" i="3"/>
  <c r="CK42" i="3"/>
  <c r="N78" i="3"/>
  <c r="CK44" i="3" s="1"/>
  <c r="O81" i="3"/>
  <c r="N14" i="3"/>
  <c r="N23" i="3"/>
  <c r="N20" i="3"/>
  <c r="O24" i="3"/>
  <c r="N17" i="3"/>
  <c r="O14" i="3"/>
  <c r="CK13" i="3" s="1"/>
  <c r="CK53" i="3"/>
  <c r="CK14" i="3"/>
  <c r="CK49" i="3"/>
  <c r="CK31" i="3"/>
  <c r="CK47" i="3" l="1"/>
  <c r="CI49" i="3"/>
  <c r="CJ43" i="3"/>
  <c r="CL43" i="3" s="1"/>
  <c r="CK43" i="3"/>
  <c r="CJ36" i="3"/>
  <c r="CL36" i="3" s="1"/>
  <c r="CK36" i="3"/>
  <c r="CK23" i="3"/>
  <c r="CJ18" i="3"/>
  <c r="CL18" i="3" s="1"/>
  <c r="CK18" i="3"/>
  <c r="CI24" i="3"/>
  <c r="CK24" i="3"/>
  <c r="CJ19" i="3"/>
  <c r="CI19" i="3"/>
  <c r="CI14"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J46" i="3"/>
  <c r="CL46" i="3" s="1"/>
  <c r="CJ38" i="3"/>
  <c r="CL38" i="3" s="1"/>
  <c r="CJ33" i="3"/>
  <c r="CL33" i="3" s="1"/>
  <c r="CJ35" i="3"/>
  <c r="CL35" i="3" s="1"/>
  <c r="CJ31" i="3"/>
  <c r="CL31" i="3" s="1"/>
  <c r="CJ34" i="3"/>
  <c r="CL34" i="3" s="1"/>
  <c r="CL28" i="3"/>
  <c r="CJ17" i="3"/>
  <c r="CL17" i="3" s="1"/>
  <c r="CJ24" i="3"/>
  <c r="CJ11" i="3"/>
  <c r="CL11" i="3" s="1"/>
  <c r="CJ20" i="3"/>
  <c r="CL20" i="3" s="1"/>
  <c r="CJ15" i="3"/>
  <c r="CL15" i="3" s="1"/>
  <c r="CJ14" i="3"/>
  <c r="CJ16" i="3"/>
  <c r="CL16" i="3" s="1"/>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M49" i="3" s="1"/>
  <c r="CL19" i="3"/>
  <c r="CL24" i="3"/>
  <c r="CL14" i="3"/>
  <c r="CM50" i="3"/>
  <c r="CM53" i="3"/>
  <c r="CM48" i="3"/>
  <c r="CM40" i="3"/>
  <c r="CM47" i="3"/>
  <c r="CM51" i="3"/>
  <c r="CM52" i="3"/>
  <c r="CM44" i="3" l="1"/>
  <c r="CM43" i="3"/>
  <c r="CM42" i="3"/>
  <c r="CM33" i="3"/>
  <c r="CM15" i="3"/>
  <c r="CM46" i="3"/>
  <c r="CM41" i="3"/>
  <c r="CM32" i="3"/>
  <c r="CM37" i="3"/>
  <c r="CM35" i="3"/>
  <c r="CM45" i="3"/>
  <c r="CM38" i="3"/>
  <c r="CM39" i="3"/>
  <c r="CM34" i="3"/>
  <c r="CM36" i="3"/>
  <c r="CM19" i="3"/>
  <c r="CM18" i="3"/>
  <c r="CM30" i="3"/>
  <c r="CM31" i="3"/>
  <c r="CM23" i="3"/>
  <c r="CM8" i="3"/>
  <c r="CM20" i="3"/>
  <c r="CM16" i="3"/>
  <c r="CM28" i="3"/>
  <c r="CM29" i="3"/>
  <c r="CM26" i="3"/>
  <c r="CM9" i="3"/>
  <c r="CM27" i="3"/>
  <c r="CM17" i="3"/>
  <c r="CM11" i="3"/>
  <c r="CM10" i="3"/>
  <c r="CM13" i="3"/>
  <c r="CM6" i="3"/>
  <c r="CM22" i="3"/>
  <c r="CM12" i="3"/>
  <c r="CM7" i="3"/>
  <c r="CM24" i="3"/>
  <c r="CM21" i="3"/>
  <c r="CM14" i="3"/>
  <c r="CM25" i="3"/>
  <c r="CN8" i="3" l="1"/>
  <c r="CN33" i="3"/>
  <c r="R53" i="3" s="1"/>
  <c r="CN32" i="3"/>
  <c r="R56" i="3" s="1"/>
  <c r="CN43" i="3"/>
  <c r="CN47" i="3"/>
  <c r="CN38" i="3"/>
  <c r="R72" i="3" s="1"/>
  <c r="CN37" i="3"/>
  <c r="Q65" i="3" s="1"/>
  <c r="CN49" i="3"/>
  <c r="Q88" i="3" s="1"/>
  <c r="CN23" i="3"/>
  <c r="CN9" i="3"/>
  <c r="CN18" i="3"/>
  <c r="CN10" i="3"/>
  <c r="CN52" i="3"/>
  <c r="R94" i="3" s="1"/>
  <c r="CN28" i="3"/>
  <c r="R48" i="3" s="1"/>
  <c r="CN42" i="3"/>
  <c r="R81" i="3" s="1"/>
  <c r="CN41" i="3"/>
  <c r="Q72" i="3" s="1"/>
  <c r="CN40" i="3"/>
  <c r="R70" i="3" s="1"/>
  <c r="CN20" i="3"/>
  <c r="CN30" i="3"/>
  <c r="CN29" i="3"/>
  <c r="Q49" i="3" s="1"/>
  <c r="CN48" i="3"/>
  <c r="R89" i="3" s="1"/>
  <c r="CN39" i="3"/>
  <c r="Q73" i="3" s="1"/>
  <c r="CN35" i="3"/>
  <c r="Q64" i="3" s="1"/>
  <c r="CN13" i="3"/>
  <c r="CN15" i="3"/>
  <c r="CN27" i="3"/>
  <c r="Q48" i="3" s="1"/>
  <c r="CN21" i="3"/>
  <c r="CN51" i="3"/>
  <c r="Q97" i="3" s="1"/>
  <c r="CN7" i="3"/>
  <c r="CN26" i="3"/>
  <c r="R49" i="3" s="1"/>
  <c r="CN6" i="3"/>
  <c r="CN46" i="3"/>
  <c r="R88" i="3" s="1"/>
  <c r="CN50" i="3"/>
  <c r="R96" i="3" s="1"/>
  <c r="CN44" i="3"/>
  <c r="R80" i="3" s="1"/>
  <c r="CN19" i="3"/>
  <c r="CN14" i="3"/>
  <c r="CN17" i="3"/>
  <c r="CN24" i="3"/>
  <c r="CN16" i="3"/>
  <c r="CN22" i="3"/>
  <c r="R41" i="3" s="1"/>
  <c r="CN12" i="3"/>
  <c r="CN34" i="3"/>
  <c r="Q62" i="3" s="1"/>
  <c r="CN53" i="3"/>
  <c r="CN31" i="3"/>
  <c r="Q56" i="3" s="1"/>
  <c r="CN45" i="3"/>
  <c r="CN36" i="3"/>
  <c r="R62" i="3" s="1"/>
  <c r="CN25" i="3"/>
  <c r="Q41" i="3" s="1"/>
  <c r="CN11" i="3"/>
  <c r="R93" i="3" l="1"/>
  <c r="Q96" i="3"/>
  <c r="R92" i="3"/>
  <c r="R95" i="3"/>
  <c r="R97" i="3"/>
  <c r="Q93" i="3"/>
  <c r="Q94" i="3"/>
  <c r="Q92" i="3"/>
  <c r="CP51" i="3" s="1"/>
  <c r="R84" i="3"/>
  <c r="CO46" i="3" s="1"/>
  <c r="R87" i="3"/>
  <c r="CO49" i="3" s="1"/>
  <c r="Q85" i="3"/>
  <c r="R86" i="3"/>
  <c r="CP46" i="3" s="1"/>
  <c r="Q84" i="3"/>
  <c r="Q86" i="3"/>
  <c r="Q87" i="3"/>
  <c r="CO47" i="3" s="1"/>
  <c r="R85" i="3"/>
  <c r="R77" i="3"/>
  <c r="Q81" i="3"/>
  <c r="R79" i="3"/>
  <c r="Q80" i="3"/>
  <c r="Q76" i="3"/>
  <c r="Q78" i="3"/>
  <c r="Q77" i="3"/>
  <c r="R78" i="3"/>
  <c r="Q71" i="3"/>
  <c r="R69" i="3"/>
  <c r="R73" i="3"/>
  <c r="Q69" i="3"/>
  <c r="Q70" i="3"/>
  <c r="Q68" i="3"/>
  <c r="R71" i="3"/>
  <c r="R68" i="3"/>
  <c r="R61" i="3"/>
  <c r="Q63" i="3"/>
  <c r="R65" i="3"/>
  <c r="Q60" i="3"/>
  <c r="R64" i="3"/>
  <c r="Q61" i="3"/>
  <c r="R63" i="3"/>
  <c r="R60" i="3"/>
  <c r="Q53" i="3"/>
  <c r="R54" i="3"/>
  <c r="Q57" i="3"/>
  <c r="Q55" i="3"/>
  <c r="R52" i="3"/>
  <c r="R55" i="3"/>
  <c r="Q52" i="3"/>
  <c r="Q54" i="3"/>
  <c r="CO32" i="3" s="1"/>
  <c r="Q31" i="3"/>
  <c r="Q32" i="3"/>
  <c r="R29" i="3"/>
  <c r="Q44" i="3"/>
  <c r="Q46" i="3"/>
  <c r="R46" i="3"/>
  <c r="Q45" i="3"/>
  <c r="Q47" i="3"/>
  <c r="CP27" i="3" s="1"/>
  <c r="R45" i="3"/>
  <c r="Q5" i="3"/>
  <c r="R7" i="3"/>
  <c r="R9" i="3"/>
  <c r="R47" i="3"/>
  <c r="R44" i="3"/>
  <c r="CP37" i="3"/>
  <c r="CP39" i="3"/>
  <c r="CO35" i="3"/>
  <c r="CP33" i="3"/>
  <c r="R76" i="3"/>
  <c r="Q89" i="3"/>
  <c r="R36" i="3"/>
  <c r="R39" i="3"/>
  <c r="Q40" i="3"/>
  <c r="CP23" i="3"/>
  <c r="Q6" i="3"/>
  <c r="Q8" i="3"/>
  <c r="R5" i="3"/>
  <c r="CO8" i="3" s="1"/>
  <c r="Q28" i="3"/>
  <c r="Q30" i="3"/>
  <c r="CP20" i="3" s="1"/>
  <c r="R32" i="3"/>
  <c r="Q15" i="3"/>
  <c r="R16" i="3"/>
  <c r="Q12" i="3"/>
  <c r="R33" i="3"/>
  <c r="R30" i="3"/>
  <c r="Q29" i="3"/>
  <c r="R57" i="3"/>
  <c r="CP30" i="3"/>
  <c r="CO30" i="3"/>
  <c r="CQ30" i="3" s="1"/>
  <c r="R13" i="3"/>
  <c r="Q16" i="3"/>
  <c r="Q14" i="3"/>
  <c r="CO45" i="3"/>
  <c r="CO53" i="3"/>
  <c r="CO27" i="3"/>
  <c r="CP50" i="3"/>
  <c r="CP36" i="3"/>
  <c r="Q25" i="3"/>
  <c r="R22" i="3"/>
  <c r="R20" i="3"/>
  <c r="Q9" i="3"/>
  <c r="R6" i="3"/>
  <c r="R4" i="3"/>
  <c r="Q7" i="3"/>
  <c r="Q4" i="3"/>
  <c r="R8" i="3"/>
  <c r="CO9" i="3" s="1"/>
  <c r="Q33" i="3"/>
  <c r="R28" i="3"/>
  <c r="R31" i="3"/>
  <c r="Q20" i="3"/>
  <c r="R24" i="3"/>
  <c r="Q23" i="3"/>
  <c r="Q24" i="3"/>
  <c r="Q22" i="3"/>
  <c r="R21" i="3"/>
  <c r="Q37" i="3"/>
  <c r="R40" i="3"/>
  <c r="CO23" i="3" s="1"/>
  <c r="R38" i="3"/>
  <c r="CP22" i="3" s="1"/>
  <c r="R25" i="3"/>
  <c r="Q21" i="3"/>
  <c r="R23" i="3"/>
  <c r="Q36" i="3"/>
  <c r="CO22" i="3"/>
  <c r="Q38" i="3"/>
  <c r="R15" i="3"/>
  <c r="CO12" i="3"/>
  <c r="Q13" i="3"/>
  <c r="CP12" i="3"/>
  <c r="R17" i="3"/>
  <c r="Q95" i="3"/>
  <c r="CP53" i="3"/>
  <c r="Q79" i="3"/>
  <c r="CP45" i="3"/>
  <c r="Q39" i="3"/>
  <c r="R37" i="3"/>
  <c r="Q17" i="3"/>
  <c r="R14" i="3"/>
  <c r="R12" i="3"/>
  <c r="CO10" i="3"/>
  <c r="CP35" i="3"/>
  <c r="CP34" i="3"/>
  <c r="CO24" i="3"/>
  <c r="CO37" i="3"/>
  <c r="CP38" i="3"/>
  <c r="CO34" i="3"/>
  <c r="CO50" i="3"/>
  <c r="CQ22" i="3"/>
  <c r="CP40" i="3"/>
  <c r="CP24" i="3"/>
  <c r="CO21" i="3"/>
  <c r="CO40" i="3"/>
  <c r="CO11" i="3"/>
  <c r="CO38" i="3"/>
  <c r="CP31" i="3"/>
  <c r="CP32" i="3"/>
  <c r="CP16" i="3"/>
  <c r="CP10" i="3"/>
  <c r="CQ10" i="3" s="1"/>
  <c r="CO31" i="3"/>
  <c r="CP28" i="3"/>
  <c r="CP17" i="3"/>
  <c r="CO28" i="3"/>
  <c r="CP9" i="3"/>
  <c r="CQ9" i="3" s="1"/>
  <c r="CP13" i="3"/>
  <c r="CO17" i="3"/>
  <c r="CP21" i="3"/>
  <c r="CO16" i="3"/>
  <c r="CO20" i="3"/>
  <c r="CQ20" i="3" s="1"/>
  <c r="CP11" i="3"/>
  <c r="CQ12" i="3"/>
  <c r="CO13" i="3"/>
  <c r="CO7" i="3"/>
  <c r="CO6" i="3"/>
  <c r="CP6" i="3"/>
  <c r="CP8" i="3"/>
  <c r="CQ8" i="3" s="1"/>
  <c r="CP7" i="3"/>
  <c r="CO41" i="3"/>
  <c r="CQ23" i="3"/>
  <c r="CP29" i="3"/>
  <c r="CO51" i="3"/>
  <c r="CO33" i="3"/>
  <c r="CO39" i="3"/>
  <c r="CO25" i="3"/>
  <c r="CP25" i="3"/>
  <c r="CP41" i="3"/>
  <c r="CO36" i="3"/>
  <c r="CP52" i="3" l="1"/>
  <c r="CO52" i="3"/>
  <c r="CQ52" i="3" s="1"/>
  <c r="CP48" i="3"/>
  <c r="CO48" i="3"/>
  <c r="CP49" i="3"/>
  <c r="CQ49" i="3" s="1"/>
  <c r="CP47" i="3"/>
  <c r="CQ47" i="3" s="1"/>
  <c r="CP43" i="3"/>
  <c r="CO43" i="3"/>
  <c r="CP44" i="3"/>
  <c r="CO44" i="3"/>
  <c r="CP42" i="3"/>
  <c r="CO42" i="3"/>
  <c r="CQ42" i="3" s="1"/>
  <c r="CQ45" i="3"/>
  <c r="CO29" i="3"/>
  <c r="CQ29" i="3" s="1"/>
  <c r="CQ53" i="3"/>
  <c r="CQ39" i="3"/>
  <c r="CO26" i="3"/>
  <c r="CP26" i="3"/>
  <c r="CP15" i="3"/>
  <c r="CO15" i="3"/>
  <c r="CP18" i="3"/>
  <c r="CQ37" i="3"/>
  <c r="CQ33" i="3"/>
  <c r="CO19" i="3"/>
  <c r="CP19" i="3"/>
  <c r="CO18" i="3"/>
  <c r="CQ35" i="3"/>
  <c r="CQ27" i="3"/>
  <c r="CQ50" i="3"/>
  <c r="CQ51" i="3"/>
  <c r="CQ36" i="3"/>
  <c r="CP14" i="3"/>
  <c r="CO14" i="3"/>
  <c r="CQ24" i="3"/>
  <c r="CQ34" i="3"/>
  <c r="CQ21" i="3"/>
  <c r="CQ46" i="3"/>
  <c r="CQ16" i="3"/>
  <c r="CQ40" i="3"/>
  <c r="CQ38" i="3"/>
  <c r="CQ11" i="3"/>
  <c r="CQ31" i="3"/>
  <c r="CQ32" i="3"/>
  <c r="CQ28" i="3"/>
  <c r="CQ13" i="3"/>
  <c r="CQ17" i="3"/>
  <c r="CQ7" i="3"/>
  <c r="CQ6" i="3"/>
  <c r="CQ41" i="3"/>
  <c r="CQ25" i="3"/>
  <c r="CQ48" i="3" l="1"/>
  <c r="CR48" i="3" s="1"/>
  <c r="CQ43" i="3"/>
  <c r="CQ44" i="3"/>
  <c r="CQ26" i="3"/>
  <c r="CQ18" i="3"/>
  <c r="CQ15" i="3"/>
  <c r="CQ19" i="3"/>
  <c r="CQ14" i="3"/>
  <c r="CR47" i="3"/>
  <c r="CR49" i="3"/>
  <c r="CR46" i="3"/>
  <c r="CR52" i="3"/>
  <c r="CR42" i="3" l="1"/>
  <c r="CR53" i="3"/>
  <c r="CR50" i="3"/>
  <c r="CR51" i="3"/>
  <c r="CR44" i="3"/>
  <c r="CR43" i="3"/>
  <c r="CR45" i="3"/>
  <c r="CR39" i="3"/>
  <c r="CR18" i="3"/>
  <c r="CR41" i="3"/>
  <c r="CR38" i="3"/>
  <c r="CR40" i="3"/>
  <c r="CR35" i="3"/>
  <c r="CR36" i="3"/>
  <c r="CR21" i="3"/>
  <c r="CR31" i="3"/>
  <c r="CR26" i="3"/>
  <c r="CR30" i="3"/>
  <c r="CR33" i="3"/>
  <c r="CR24" i="3"/>
  <c r="CR20" i="3"/>
  <c r="CR22" i="3"/>
  <c r="CR28" i="3"/>
  <c r="CR17" i="3"/>
  <c r="CR16" i="3"/>
  <c r="CR10" i="3"/>
  <c r="CR11" i="3"/>
  <c r="CR29" i="3"/>
  <c r="CR32" i="3"/>
  <c r="CR27" i="3"/>
  <c r="CR13" i="3"/>
  <c r="CR12" i="3"/>
  <c r="CR23" i="3"/>
  <c r="CR25" i="3"/>
  <c r="CR34" i="3"/>
  <c r="CR37" i="3"/>
  <c r="CR8" i="3"/>
  <c r="CR9" i="3"/>
  <c r="CR19" i="3"/>
  <c r="CR14" i="3"/>
  <c r="CR7" i="3"/>
  <c r="CR6" i="3"/>
  <c r="CR15" i="3"/>
  <c r="CS25" i="3" l="1"/>
  <c r="T39" i="3" s="1"/>
  <c r="CS42" i="3"/>
  <c r="U81" i="3" s="1"/>
  <c r="CS40" i="3"/>
  <c r="CS37" i="3"/>
  <c r="T65" i="3" s="1"/>
  <c r="CS41" i="3"/>
  <c r="T72" i="3" s="1"/>
  <c r="CS38" i="3"/>
  <c r="CS43" i="3"/>
  <c r="CS46" i="3"/>
  <c r="T86" i="3" s="1"/>
  <c r="CS30" i="3"/>
  <c r="U57" i="3" s="1"/>
  <c r="CS47" i="3"/>
  <c r="T89" i="3" s="1"/>
  <c r="CS13" i="3"/>
  <c r="CS35" i="3"/>
  <c r="T64" i="3" s="1"/>
  <c r="CS39" i="3"/>
  <c r="T73" i="3" s="1"/>
  <c r="CS16" i="3"/>
  <c r="U25" i="3" s="1"/>
  <c r="CS22" i="3"/>
  <c r="CS49" i="3"/>
  <c r="CS32" i="3"/>
  <c r="U54" i="3" s="1"/>
  <c r="CS45" i="3"/>
  <c r="T81" i="3" s="1"/>
  <c r="CS51" i="3"/>
  <c r="T97" i="3" s="1"/>
  <c r="CS31" i="3"/>
  <c r="CS23" i="3"/>
  <c r="CS9" i="3"/>
  <c r="CS17" i="3"/>
  <c r="CS33" i="3"/>
  <c r="T57" i="3" s="1"/>
  <c r="CS27" i="3"/>
  <c r="T48" i="3" s="1"/>
  <c r="CS18" i="3"/>
  <c r="CS21" i="3"/>
  <c r="CS52" i="3"/>
  <c r="U97" i="3" s="1"/>
  <c r="CS14" i="3"/>
  <c r="CS24" i="3"/>
  <c r="U40" i="3" s="1"/>
  <c r="CS53" i="3"/>
  <c r="T96" i="3" s="1"/>
  <c r="CS36" i="3"/>
  <c r="T61" i="3" s="1"/>
  <c r="CS10" i="3"/>
  <c r="CS48" i="3"/>
  <c r="U86" i="3" s="1"/>
  <c r="CS11" i="3"/>
  <c r="CS20" i="3"/>
  <c r="U33" i="3" s="1"/>
  <c r="CS44" i="3"/>
  <c r="U78" i="3" s="1"/>
  <c r="CS6" i="3"/>
  <c r="CS28" i="3"/>
  <c r="CS15" i="3"/>
  <c r="T25" i="3" s="1"/>
  <c r="CS50" i="3"/>
  <c r="U96" i="3" s="1"/>
  <c r="CS29" i="3"/>
  <c r="T49" i="3" s="1"/>
  <c r="CS8" i="3"/>
  <c r="CS19" i="3"/>
  <c r="CS26" i="3"/>
  <c r="U49" i="3" s="1"/>
  <c r="CS34" i="3"/>
  <c r="CS12" i="3"/>
  <c r="CS7" i="3"/>
  <c r="U92" i="3" l="1"/>
  <c r="U95" i="3"/>
  <c r="T93" i="3"/>
  <c r="U94" i="3"/>
  <c r="T92" i="3"/>
  <c r="T94" i="3"/>
  <c r="T95" i="3"/>
  <c r="U93" i="3"/>
  <c r="CT52" i="3" s="1"/>
  <c r="T87" i="3"/>
  <c r="T88" i="3"/>
  <c r="U84" i="3"/>
  <c r="CT46" i="3" s="1"/>
  <c r="U87" i="3"/>
  <c r="U89" i="3"/>
  <c r="CT47" i="3" s="1"/>
  <c r="T85" i="3"/>
  <c r="U88" i="3"/>
  <c r="T84" i="3"/>
  <c r="U76" i="3"/>
  <c r="U79" i="3"/>
  <c r="T79" i="3"/>
  <c r="U77" i="3"/>
  <c r="U80" i="3"/>
  <c r="T77" i="3"/>
  <c r="T69" i="3"/>
  <c r="U73" i="3"/>
  <c r="T78" i="3"/>
  <c r="T76" i="3"/>
  <c r="T68" i="3"/>
  <c r="U72" i="3"/>
  <c r="T71" i="3"/>
  <c r="U69" i="3"/>
  <c r="CT40" i="3" s="1"/>
  <c r="U71" i="3"/>
  <c r="U68" i="3"/>
  <c r="CT38" i="3" s="1"/>
  <c r="T41" i="3"/>
  <c r="U37" i="3"/>
  <c r="U62" i="3"/>
  <c r="U64" i="3"/>
  <c r="T60" i="3"/>
  <c r="T62" i="3"/>
  <c r="T63" i="3"/>
  <c r="U61" i="3"/>
  <c r="U63" i="3"/>
  <c r="CT37" i="3" s="1"/>
  <c r="U60" i="3"/>
  <c r="CT34" i="3" s="1"/>
  <c r="U52" i="3"/>
  <c r="T56" i="3"/>
  <c r="U53" i="3"/>
  <c r="T55" i="3"/>
  <c r="T52" i="3"/>
  <c r="T54" i="3"/>
  <c r="U56" i="3"/>
  <c r="T53" i="3"/>
  <c r="U23" i="3"/>
  <c r="T21" i="3"/>
  <c r="U70" i="3"/>
  <c r="T70" i="3"/>
  <c r="T80" i="3"/>
  <c r="T30" i="3"/>
  <c r="U32" i="3"/>
  <c r="T28" i="3"/>
  <c r="CT24" i="3"/>
  <c r="U38" i="3"/>
  <c r="T37" i="3"/>
  <c r="U45" i="3"/>
  <c r="T47" i="3"/>
  <c r="CT27" i="3" s="1"/>
  <c r="CT17" i="3"/>
  <c r="CT32" i="3"/>
  <c r="CT53" i="3"/>
  <c r="CT35" i="3"/>
  <c r="CT51" i="3"/>
  <c r="T14" i="3"/>
  <c r="U13" i="3"/>
  <c r="T16" i="3"/>
  <c r="T38" i="3"/>
  <c r="T36" i="3"/>
  <c r="CT23" i="3" s="1"/>
  <c r="U41" i="3"/>
  <c r="U85" i="3"/>
  <c r="CT48" i="3" s="1"/>
  <c r="U55" i="3"/>
  <c r="CT33" i="3" s="1"/>
  <c r="CT31" i="3"/>
  <c r="T40" i="3"/>
  <c r="U39" i="3"/>
  <c r="CT25" i="3" s="1"/>
  <c r="U36" i="3"/>
  <c r="CT22" i="3" s="1"/>
  <c r="U5" i="3"/>
  <c r="T6" i="3"/>
  <c r="T8" i="3"/>
  <c r="T22" i="3"/>
  <c r="T24" i="3"/>
  <c r="U21" i="3"/>
  <c r="U47" i="3"/>
  <c r="U44" i="3"/>
  <c r="T31" i="3"/>
  <c r="T32" i="3"/>
  <c r="U29" i="3"/>
  <c r="U24" i="3"/>
  <c r="T20" i="3"/>
  <c r="T23" i="3"/>
  <c r="CT50" i="3"/>
  <c r="CT28" i="3"/>
  <c r="T15" i="3"/>
  <c r="T12" i="3"/>
  <c r="U16" i="3"/>
  <c r="T17" i="3"/>
  <c r="U14" i="3"/>
  <c r="U12" i="3"/>
  <c r="U30" i="3"/>
  <c r="T29" i="3"/>
  <c r="U8" i="3"/>
  <c r="T4" i="3"/>
  <c r="T7" i="3"/>
  <c r="U48" i="3"/>
  <c r="U46" i="3"/>
  <c r="T45" i="3"/>
  <c r="U22" i="3"/>
  <c r="U20" i="3"/>
  <c r="U9" i="3"/>
  <c r="U7" i="3"/>
  <c r="T5" i="3"/>
  <c r="T46" i="3"/>
  <c r="T44" i="3"/>
  <c r="CT12" i="3"/>
  <c r="CT7" i="3"/>
  <c r="U31" i="3"/>
  <c r="U28" i="3"/>
  <c r="T33" i="3"/>
  <c r="U65" i="3"/>
  <c r="T13" i="3"/>
  <c r="U15" i="3"/>
  <c r="U17" i="3"/>
  <c r="U4" i="3"/>
  <c r="T9" i="3"/>
  <c r="U6" i="3"/>
  <c r="CT11" i="3"/>
  <c r="CT21" i="3"/>
  <c r="CT6" i="3"/>
  <c r="CT42" i="3"/>
  <c r="CT45" i="3"/>
  <c r="CT20" i="3"/>
  <c r="CT30" i="3"/>
  <c r="CT26" i="3"/>
  <c r="CT16" i="3"/>
  <c r="CT13" i="3"/>
  <c r="CT41" i="3"/>
  <c r="CT39" i="3"/>
  <c r="CT10" i="3"/>
  <c r="CT29" i="3"/>
  <c r="CT9" i="3"/>
  <c r="CT36" i="3"/>
  <c r="CT8" i="3"/>
  <c r="CT49" i="3" l="1"/>
  <c r="CT43" i="3"/>
  <c r="CT44" i="3"/>
  <c r="CT19" i="3"/>
  <c r="CT15" i="3"/>
  <c r="CT14" i="3"/>
  <c r="CT18" i="3"/>
  <c r="CU51" i="3" s="1"/>
  <c r="CU53" i="3"/>
  <c r="CU47" i="3"/>
  <c r="CU48" i="3"/>
  <c r="CU45" i="3"/>
  <c r="CU24" i="3"/>
  <c r="CU21" i="3"/>
  <c r="CU27" i="3"/>
  <c r="CU30" i="3"/>
  <c r="CU10" i="3"/>
  <c r="CU26" i="3"/>
  <c r="CU20" i="3"/>
  <c r="CU35" i="3"/>
  <c r="CU31" i="3"/>
  <c r="CU11" i="3"/>
  <c r="CU17" i="3"/>
  <c r="CU12" i="3"/>
  <c r="CU16" i="3"/>
  <c r="CU40" i="3"/>
  <c r="CU28" i="3"/>
  <c r="CU22" i="3"/>
  <c r="CU29" i="3"/>
  <c r="CU39" i="3"/>
  <c r="CU8" i="3"/>
  <c r="CU25" i="3"/>
  <c r="CU23" i="3"/>
  <c r="CU9" i="3"/>
  <c r="CU7" i="3"/>
  <c r="CU6" i="3"/>
  <c r="CU13" i="3"/>
  <c r="CU36" i="3"/>
  <c r="CU50" i="3" l="1"/>
  <c r="CU52" i="3"/>
  <c r="CU46" i="3"/>
  <c r="CU49" i="3"/>
  <c r="CU43" i="3"/>
  <c r="CU44" i="3"/>
  <c r="CU42" i="3"/>
  <c r="CU41" i="3"/>
  <c r="CU38" i="3"/>
  <c r="CU34" i="3"/>
  <c r="CU37" i="3"/>
  <c r="CU32" i="3"/>
  <c r="CU33" i="3"/>
  <c r="CU15" i="3"/>
  <c r="CU14" i="3"/>
  <c r="CU18" i="3"/>
  <c r="CU19" i="3"/>
  <c r="CV21" i="3" l="1"/>
  <c r="CW21" i="3" s="1"/>
  <c r="CV15" i="3"/>
  <c r="CW15" i="3" s="1"/>
  <c r="CV19" i="3"/>
  <c r="CW19" i="3" s="1"/>
  <c r="CV28" i="3"/>
  <c r="CV27" i="3"/>
  <c r="CV10" i="3"/>
  <c r="CV51" i="3"/>
  <c r="CV23" i="3"/>
  <c r="CV45" i="3"/>
  <c r="CV49" i="3"/>
  <c r="CV35" i="3"/>
  <c r="CV18" i="3"/>
  <c r="CV13" i="3"/>
  <c r="CV24" i="3"/>
  <c r="CV41" i="3"/>
  <c r="CV47" i="3"/>
  <c r="CV48" i="3"/>
  <c r="CV17" i="3"/>
  <c r="CV30" i="3"/>
  <c r="CV53" i="3"/>
  <c r="CV16" i="3"/>
  <c r="CV33" i="3"/>
  <c r="CV9" i="3"/>
  <c r="CV7" i="3"/>
  <c r="CV12" i="3"/>
  <c r="CV39" i="3"/>
  <c r="CV42" i="3"/>
  <c r="CW42" i="3" s="1"/>
  <c r="CV44" i="3"/>
  <c r="CV29" i="3"/>
  <c r="CV20" i="3"/>
  <c r="CV37" i="3"/>
  <c r="CV22" i="3"/>
  <c r="CW22" i="3" s="1"/>
  <c r="CV36" i="3"/>
  <c r="CV46" i="3"/>
  <c r="CW46" i="3" s="1"/>
  <c r="CV52" i="3"/>
  <c r="CV8" i="3"/>
  <c r="CV6" i="3"/>
  <c r="CV11" i="3"/>
  <c r="CV32" i="3"/>
  <c r="CV43" i="3"/>
  <c r="CV26" i="3"/>
  <c r="CV40" i="3"/>
  <c r="CV50" i="3"/>
  <c r="CV38" i="3"/>
  <c r="CV34" i="3"/>
  <c r="CV31" i="3"/>
  <c r="CV14" i="3"/>
  <c r="CW14" i="3" s="1"/>
  <c r="CV25" i="3"/>
  <c r="CW28" i="3" l="1"/>
  <c r="CW27" i="3"/>
  <c r="CW10" i="3"/>
  <c r="CW51" i="3"/>
  <c r="CW23" i="3"/>
  <c r="CW45" i="3"/>
  <c r="CW49" i="3"/>
  <c r="CW35" i="3"/>
  <c r="CW18" i="3"/>
  <c r="CW13" i="3"/>
  <c r="CW24" i="3"/>
  <c r="CW41" i="3"/>
  <c r="CW47" i="3"/>
  <c r="CW48" i="3"/>
  <c r="CW17" i="3"/>
  <c r="CW30" i="3"/>
  <c r="CW53" i="3"/>
  <c r="CW16" i="3"/>
  <c r="CW33" i="3"/>
  <c r="CW9" i="3"/>
  <c r="CW7" i="3"/>
  <c r="CW12" i="3"/>
  <c r="CW39" i="3"/>
  <c r="CW44" i="3"/>
  <c r="CW29" i="3"/>
  <c r="CW20" i="3"/>
  <c r="CW37" i="3"/>
  <c r="CW36" i="3"/>
  <c r="CW52" i="3"/>
  <c r="CW8" i="3"/>
  <c r="CW6" i="3"/>
  <c r="CX14" i="3"/>
  <c r="CX15" i="3"/>
  <c r="CW11" i="3"/>
  <c r="CW32" i="3"/>
  <c r="CW43" i="3"/>
  <c r="CW26" i="3"/>
  <c r="CW40" i="3"/>
  <c r="CW50" i="3"/>
  <c r="CW38" i="3"/>
  <c r="CW34" i="3"/>
  <c r="CW31" i="3"/>
  <c r="CW25" i="3"/>
  <c r="CX22" i="3" l="1"/>
  <c r="CX51" i="3"/>
  <c r="CX37" i="3"/>
  <c r="CX48" i="3"/>
  <c r="CX29" i="3"/>
  <c r="CX18" i="3"/>
  <c r="CX19" i="3"/>
  <c r="CX16" i="3"/>
  <c r="CX12" i="3"/>
  <c r="CX25" i="3"/>
  <c r="CX23" i="3"/>
  <c r="CX27" i="3"/>
  <c r="CX20" i="3"/>
  <c r="CX39" i="3"/>
  <c r="CX42" i="3"/>
  <c r="CX50" i="3"/>
  <c r="CX32" i="3"/>
  <c r="CX41" i="3"/>
  <c r="CX36" i="3"/>
  <c r="CX9" i="3"/>
  <c r="CX26" i="3"/>
  <c r="CX6" i="3"/>
  <c r="CX21" i="3"/>
  <c r="CX10" i="3"/>
  <c r="CX7" i="3"/>
  <c r="CX31" i="3"/>
  <c r="CX30" i="3"/>
  <c r="CX53" i="3"/>
  <c r="CX46" i="3"/>
  <c r="CX35" i="3"/>
  <c r="CX40" i="3"/>
  <c r="CX17" i="3"/>
  <c r="CX8" i="3"/>
  <c r="CX24" i="3"/>
  <c r="CX13" i="3"/>
  <c r="CX11" i="3"/>
  <c r="CX28" i="3"/>
  <c r="CX33" i="3"/>
  <c r="CX44" i="3"/>
  <c r="CX47" i="3"/>
  <c r="CX52" i="3"/>
  <c r="CX43" i="3"/>
  <c r="CX49" i="3"/>
  <c r="CX45" i="3"/>
  <c r="CX38" i="3"/>
  <c r="CX34" i="3"/>
  <c r="CY53" i="3" l="1"/>
  <c r="CZ53" i="3" s="1"/>
  <c r="CY49" i="3"/>
  <c r="CZ49" i="3" s="1"/>
  <c r="CY14" i="3"/>
  <c r="CY42" i="3"/>
  <c r="CY19" i="3"/>
  <c r="CY20" i="3"/>
  <c r="CY29" i="3"/>
  <c r="CY12" i="3"/>
  <c r="CY16" i="3"/>
  <c r="CY39" i="3"/>
  <c r="CY18" i="3"/>
  <c r="CY51" i="3"/>
  <c r="CY27" i="3"/>
  <c r="CY48" i="3"/>
  <c r="CY23" i="3"/>
  <c r="CY37" i="3"/>
  <c r="CY22" i="3"/>
  <c r="CY15" i="3"/>
  <c r="CY6" i="3"/>
  <c r="CY32" i="3"/>
  <c r="CY26" i="3"/>
  <c r="CY46" i="3"/>
  <c r="CY36" i="3"/>
  <c r="CY9" i="3"/>
  <c r="CY35" i="3"/>
  <c r="CY21" i="3"/>
  <c r="CY10" i="3"/>
  <c r="CY7" i="3"/>
  <c r="CY44" i="3"/>
  <c r="CY30" i="3"/>
  <c r="CY40" i="3"/>
  <c r="CY17" i="3"/>
  <c r="CY8" i="3"/>
  <c r="CY24" i="3"/>
  <c r="CY13" i="3"/>
  <c r="CY11" i="3"/>
  <c r="CY28" i="3"/>
  <c r="CY47" i="3"/>
  <c r="CY43" i="3"/>
  <c r="CY45" i="3"/>
  <c r="CY38" i="3"/>
  <c r="CY50" i="3"/>
  <c r="CY41" i="3"/>
  <c r="CY31" i="3"/>
  <c r="CY33" i="3"/>
  <c r="CZ33" i="3" s="1"/>
  <c r="CY34" i="3"/>
  <c r="CY52" i="3"/>
  <c r="CY25" i="3"/>
  <c r="CZ25" i="3" s="1"/>
  <c r="CZ14" i="3" l="1"/>
  <c r="CZ29" i="3"/>
  <c r="CZ12" i="3"/>
  <c r="CZ39" i="3"/>
  <c r="CZ46" i="3"/>
  <c r="CZ7" i="3"/>
  <c r="CZ44" i="3"/>
  <c r="CZ13" i="3"/>
  <c r="CZ42" i="3"/>
  <c r="CZ19" i="3"/>
  <c r="CZ20" i="3"/>
  <c r="CZ16" i="3"/>
  <c r="CZ18" i="3"/>
  <c r="CZ51" i="3"/>
  <c r="CZ27" i="3"/>
  <c r="CZ48" i="3"/>
  <c r="CZ23" i="3"/>
  <c r="CZ37" i="3"/>
  <c r="CZ22" i="3"/>
  <c r="CZ15" i="3"/>
  <c r="CZ6" i="3"/>
  <c r="CZ32" i="3"/>
  <c r="CZ26" i="3"/>
  <c r="CZ36" i="3"/>
  <c r="CZ9" i="3"/>
  <c r="CZ35" i="3"/>
  <c r="CZ21" i="3"/>
  <c r="CZ10" i="3"/>
  <c r="CZ30" i="3"/>
  <c r="CZ40" i="3"/>
  <c r="CZ17" i="3"/>
  <c r="CZ8" i="3"/>
  <c r="CZ24" i="3"/>
  <c r="CZ11" i="3"/>
  <c r="CZ28" i="3"/>
  <c r="CZ47" i="3"/>
  <c r="CZ43" i="3"/>
  <c r="CZ45" i="3"/>
  <c r="CZ38" i="3"/>
  <c r="CZ50" i="3"/>
  <c r="CZ41" i="3"/>
  <c r="CZ31" i="3"/>
  <c r="CZ34" i="3"/>
  <c r="CZ52" i="3"/>
  <c r="DA53" i="3" l="1"/>
  <c r="DA49" i="3"/>
  <c r="DA44" i="3"/>
  <c r="DA40" i="3"/>
  <c r="DA15" i="3"/>
  <c r="DA35" i="3"/>
  <c r="DA14" i="3"/>
  <c r="DA37" i="3"/>
  <c r="DA45" i="3"/>
  <c r="DA46" i="3"/>
  <c r="DA50" i="3"/>
  <c r="DA22" i="3"/>
  <c r="DA6" i="3"/>
  <c r="DA41" i="3"/>
  <c r="DA43" i="3"/>
  <c r="DA52" i="3"/>
  <c r="DA29" i="3"/>
  <c r="DA12" i="3"/>
  <c r="DA39" i="3"/>
  <c r="DA13" i="3"/>
  <c r="DA34" i="3"/>
  <c r="DA19" i="3"/>
  <c r="DA18" i="3"/>
  <c r="DA26" i="3"/>
  <c r="DA11" i="3"/>
  <c r="DA24" i="3"/>
  <c r="DA20" i="3"/>
  <c r="DA16" i="3"/>
  <c r="DA8" i="3"/>
  <c r="DA27" i="3"/>
  <c r="DA10" i="3"/>
  <c r="DA21" i="3"/>
  <c r="DA36" i="3"/>
  <c r="DA32" i="3"/>
  <c r="DA33" i="3"/>
  <c r="DA48" i="3"/>
  <c r="DA30" i="3"/>
  <c r="DA51" i="3"/>
  <c r="DA42" i="3"/>
  <c r="DA38" i="3"/>
  <c r="DA47" i="3"/>
  <c r="DA31" i="3"/>
  <c r="DA9" i="3"/>
  <c r="DA17" i="3"/>
  <c r="DA23" i="3"/>
  <c r="DA28" i="3"/>
  <c r="DA25" i="3"/>
  <c r="DA7" i="3"/>
  <c r="DB16" i="3" l="1"/>
  <c r="DC16" i="3" s="1"/>
  <c r="DB29" i="3"/>
  <c r="DB52" i="3"/>
  <c r="DB14" i="3"/>
  <c r="DB34" i="3"/>
  <c r="DB11" i="3"/>
  <c r="DB13" i="3"/>
  <c r="DB39" i="3"/>
  <c r="DB33" i="3"/>
  <c r="DB6" i="3"/>
  <c r="DB12" i="3"/>
  <c r="DB46" i="3"/>
  <c r="DB40" i="3"/>
  <c r="DB10" i="3"/>
  <c r="DB7" i="3"/>
  <c r="DC7" i="3" s="1"/>
  <c r="DB31" i="3"/>
  <c r="DB41" i="3"/>
  <c r="DB43" i="3"/>
  <c r="DB47" i="3"/>
  <c r="DB21" i="3"/>
  <c r="DB30" i="3"/>
  <c r="DB53" i="3"/>
  <c r="DB8" i="3"/>
  <c r="DB36" i="3"/>
  <c r="DB45" i="3"/>
  <c r="DB35" i="3"/>
  <c r="DB17" i="3"/>
  <c r="DB26" i="3"/>
  <c r="DB24" i="3"/>
  <c r="DB32" i="3"/>
  <c r="DB25" i="3"/>
  <c r="DB48" i="3"/>
  <c r="DB28" i="3"/>
  <c r="DB51" i="3"/>
  <c r="DB15" i="3"/>
  <c r="DB37" i="3"/>
  <c r="DB38" i="3"/>
  <c r="DB44" i="3"/>
  <c r="DB20" i="3"/>
  <c r="DB42" i="3"/>
  <c r="DB27" i="3"/>
  <c r="DB49" i="3"/>
  <c r="DB22" i="3"/>
  <c r="DB23" i="3"/>
  <c r="DB19" i="3"/>
  <c r="DB18" i="3"/>
  <c r="DB9" i="3"/>
  <c r="DB50" i="3"/>
  <c r="DC29" i="3" l="1"/>
  <c r="DC52" i="3"/>
  <c r="DC14" i="3"/>
  <c r="DC34" i="3"/>
  <c r="DC11" i="3"/>
  <c r="DC13" i="3"/>
  <c r="DC39" i="3"/>
  <c r="DC33" i="3"/>
  <c r="DC6" i="3"/>
  <c r="DC12" i="3"/>
  <c r="DC46" i="3"/>
  <c r="DC40" i="3"/>
  <c r="DC10" i="3"/>
  <c r="DC31" i="3"/>
  <c r="DC41" i="3"/>
  <c r="DC43" i="3"/>
  <c r="DC47" i="3"/>
  <c r="DC21" i="3"/>
  <c r="DC30" i="3"/>
  <c r="DC53" i="3"/>
  <c r="DC8" i="3"/>
  <c r="DC36" i="3"/>
  <c r="DC45" i="3"/>
  <c r="DC35" i="3"/>
  <c r="DC17" i="3"/>
  <c r="DC26" i="3"/>
  <c r="DC24" i="3"/>
  <c r="DC32" i="3"/>
  <c r="DC25" i="3"/>
  <c r="DC48" i="3"/>
  <c r="DC28" i="3"/>
  <c r="DC51" i="3"/>
  <c r="DC15" i="3"/>
  <c r="DC37" i="3"/>
  <c r="DC38" i="3"/>
  <c r="DC44" i="3"/>
  <c r="DC20" i="3"/>
  <c r="DC42" i="3"/>
  <c r="DC27" i="3"/>
  <c r="DC49" i="3"/>
  <c r="DC22" i="3"/>
  <c r="DC23" i="3"/>
  <c r="DC19" i="3"/>
  <c r="DC18" i="3"/>
  <c r="DC9" i="3"/>
  <c r="DC50" i="3"/>
  <c r="DD41" i="3" l="1"/>
  <c r="BM41" i="3" s="1"/>
  <c r="DD53" i="3"/>
  <c r="BM53" i="3" s="1"/>
  <c r="DD26" i="3"/>
  <c r="BM26" i="3" s="1"/>
  <c r="DD51" i="3"/>
  <c r="BM51" i="3" s="1"/>
  <c r="DD18" i="3"/>
  <c r="BM18" i="3" s="1"/>
  <c r="DD40" i="3"/>
  <c r="BM40" i="3" s="1"/>
  <c r="DD17" i="3"/>
  <c r="BM17" i="3" s="1"/>
  <c r="DD38" i="3"/>
  <c r="BM38" i="3" s="1"/>
  <c r="DD28" i="3"/>
  <c r="BM28" i="3" s="1"/>
  <c r="DD44" i="3"/>
  <c r="BM44" i="3" s="1"/>
  <c r="DD23" i="3"/>
  <c r="BM23" i="3" s="1"/>
  <c r="DD29" i="3"/>
  <c r="BM29" i="3" s="1"/>
  <c r="DD52" i="3"/>
  <c r="BM52" i="3" s="1"/>
  <c r="DD11" i="3"/>
  <c r="BM11" i="3" s="1"/>
  <c r="DD6" i="3"/>
  <c r="BM6" i="3" s="1"/>
  <c r="DD12" i="3"/>
  <c r="BM12" i="3" s="1"/>
  <c r="DD13" i="3"/>
  <c r="BM13" i="3" s="1"/>
  <c r="DD39" i="3"/>
  <c r="BM39" i="3" s="1"/>
  <c r="DD33" i="3"/>
  <c r="BM33" i="3" s="1"/>
  <c r="DD31" i="3"/>
  <c r="BM31" i="3" s="1"/>
  <c r="DD46" i="3"/>
  <c r="BM46" i="3" s="1"/>
  <c r="DD43" i="3"/>
  <c r="BM43" i="3" s="1"/>
  <c r="DD47" i="3"/>
  <c r="BM47" i="3" s="1"/>
  <c r="DD21" i="3"/>
  <c r="BM21" i="3" s="1"/>
  <c r="DD8" i="3"/>
  <c r="BM8" i="3" s="1"/>
  <c r="DD36" i="3"/>
  <c r="BM36" i="3" s="1"/>
  <c r="DD35" i="3"/>
  <c r="BM35" i="3" s="1"/>
  <c r="DD24" i="3"/>
  <c r="BM24" i="3" s="1"/>
  <c r="DD25" i="3"/>
  <c r="BM25" i="3" s="1"/>
  <c r="DD48" i="3"/>
  <c r="BM48" i="3" s="1"/>
  <c r="DD15" i="3"/>
  <c r="BM15" i="3" s="1"/>
  <c r="DD37" i="3"/>
  <c r="BM37" i="3" s="1"/>
  <c r="DD20" i="3"/>
  <c r="BM20" i="3" s="1"/>
  <c r="DD27" i="3"/>
  <c r="BM27" i="3" s="1"/>
  <c r="DD49" i="3"/>
  <c r="BM49" i="3" s="1"/>
  <c r="DD22" i="3"/>
  <c r="BM22" i="3" s="1"/>
  <c r="DD19" i="3"/>
  <c r="BM19" i="3" s="1"/>
  <c r="DD9" i="3"/>
  <c r="BM9" i="3" s="1"/>
  <c r="DD50" i="3"/>
  <c r="BM50" i="3" s="1"/>
  <c r="DD10" i="3"/>
  <c r="BM10" i="3" s="1"/>
  <c r="DD14" i="3"/>
  <c r="BM14" i="3" s="1"/>
  <c r="DD34" i="3"/>
  <c r="BM34" i="3" s="1"/>
  <c r="DD7" i="3"/>
  <c r="BM7" i="3" s="1"/>
  <c r="DD16" i="3"/>
  <c r="BM16" i="3" s="1"/>
  <c r="DD45" i="3"/>
  <c r="BM45" i="3" s="1"/>
  <c r="DD30" i="3"/>
  <c r="BM30" i="3" s="1"/>
  <c r="DD32" i="3"/>
  <c r="BM32" i="3" s="1"/>
  <c r="DD42" i="3"/>
  <c r="BM42" i="3" s="1"/>
  <c r="AV6" i="3" l="1"/>
  <c r="DF6" i="3" s="1"/>
  <c r="DQ6" i="3"/>
  <c r="DJ6" i="3" s="1"/>
  <c r="AV96" i="3"/>
  <c r="DQ7" i="3"/>
  <c r="DJ7" i="3" s="1"/>
  <c r="AV31" i="3"/>
  <c r="AV23" i="3"/>
  <c r="DQ10" i="3"/>
  <c r="DJ10" i="3" s="1"/>
  <c r="AV63" i="3"/>
  <c r="DQ46" i="3"/>
  <c r="DJ46" i="3" s="1"/>
  <c r="DQ24" i="3"/>
  <c r="DJ24" i="3" s="1"/>
  <c r="AV39" i="3"/>
  <c r="AV16" i="3"/>
  <c r="AV55" i="3"/>
  <c r="DQ39" i="3"/>
  <c r="DJ39" i="3" s="1"/>
  <c r="DQ31" i="3"/>
  <c r="DJ31" i="3" s="1"/>
  <c r="DQ36" i="3"/>
  <c r="DJ36" i="3" s="1"/>
  <c r="DQ23" i="3"/>
  <c r="DJ23" i="3" s="1"/>
  <c r="DQ44" i="3"/>
  <c r="DJ44" i="3" s="1"/>
  <c r="AV71" i="3"/>
  <c r="DQ38" i="3"/>
  <c r="DJ38" i="3" s="1"/>
  <c r="DQ21" i="3"/>
  <c r="DJ21" i="3" s="1"/>
  <c r="DQ25" i="3"/>
  <c r="DJ25" i="3" s="1"/>
  <c r="DQ40" i="3"/>
  <c r="DJ40" i="3" s="1"/>
  <c r="AV81" i="3"/>
  <c r="AV97" i="3"/>
  <c r="AV9" i="3"/>
  <c r="AV33" i="3"/>
  <c r="AV8" i="3"/>
  <c r="AV38" i="3"/>
  <c r="DQ26" i="3"/>
  <c r="DJ26" i="3" s="1"/>
  <c r="DQ49" i="3"/>
  <c r="DJ49" i="3" s="1"/>
  <c r="DQ11" i="3"/>
  <c r="DJ11" i="3" s="1"/>
  <c r="AV54" i="3"/>
  <c r="AV14" i="3"/>
  <c r="AV86" i="3"/>
  <c r="DQ28" i="3"/>
  <c r="DJ28" i="3" s="1"/>
  <c r="AV65" i="3"/>
  <c r="DQ41" i="3"/>
  <c r="DJ41" i="3" s="1"/>
  <c r="DQ30" i="3"/>
  <c r="DJ30" i="3" s="1"/>
  <c r="AV87" i="3"/>
  <c r="AV79" i="3"/>
  <c r="DQ48" i="3"/>
  <c r="DJ48" i="3" s="1"/>
  <c r="DQ35" i="3"/>
  <c r="DJ35" i="3" s="1"/>
  <c r="AV94" i="3"/>
  <c r="AV73" i="3"/>
  <c r="DQ52" i="3"/>
  <c r="DJ52" i="3" s="1"/>
  <c r="AV30" i="3"/>
  <c r="DQ34" i="3"/>
  <c r="DJ34" i="3" s="1"/>
  <c r="DQ37" i="3"/>
  <c r="DJ37" i="3" s="1"/>
  <c r="DQ43" i="3"/>
  <c r="DJ43" i="3" s="1"/>
  <c r="AV64" i="3"/>
  <c r="DQ20" i="3"/>
  <c r="DJ20" i="3" s="1"/>
  <c r="DQ22" i="3"/>
  <c r="DJ22" i="3" s="1"/>
  <c r="AV56" i="3"/>
  <c r="DQ16" i="3"/>
  <c r="DJ16" i="3" s="1"/>
  <c r="DQ33" i="3"/>
  <c r="DJ33" i="3" s="1"/>
  <c r="AV24" i="3"/>
  <c r="DQ8" i="3"/>
  <c r="DJ8" i="3" s="1"/>
  <c r="AV48" i="3"/>
  <c r="AV41" i="3"/>
  <c r="DQ47" i="3"/>
  <c r="DJ47" i="3" s="1"/>
  <c r="DQ32" i="3"/>
  <c r="DJ32" i="3" s="1"/>
  <c r="AV70" i="3"/>
  <c r="DQ9" i="3"/>
  <c r="DJ9" i="3" s="1"/>
  <c r="AV25" i="3"/>
  <c r="DQ15" i="3"/>
  <c r="DJ15" i="3" s="1"/>
  <c r="AV72" i="3"/>
  <c r="AV32" i="3"/>
  <c r="AV47" i="3"/>
  <c r="DQ45" i="3"/>
  <c r="DJ45" i="3" s="1"/>
  <c r="DQ50" i="3"/>
  <c r="DJ50" i="3" s="1"/>
  <c r="AV17" i="3"/>
  <c r="AV88" i="3"/>
  <c r="DQ53" i="3"/>
  <c r="DJ53" i="3" s="1"/>
  <c r="DQ12" i="3"/>
  <c r="DJ12" i="3" s="1"/>
  <c r="DQ17" i="3"/>
  <c r="DJ17" i="3" s="1"/>
  <c r="AV15" i="3"/>
  <c r="AV95" i="3"/>
  <c r="AV40" i="3"/>
  <c r="AV62" i="3"/>
  <c r="DQ14" i="3"/>
  <c r="DJ14" i="3" s="1"/>
  <c r="AV57" i="3"/>
  <c r="DQ19" i="3"/>
  <c r="DJ19" i="3" s="1"/>
  <c r="DQ27" i="3"/>
  <c r="DJ27" i="3" s="1"/>
  <c r="AV80" i="3"/>
  <c r="AV49" i="3"/>
  <c r="AV89" i="3"/>
  <c r="AV22" i="3"/>
  <c r="AV46" i="3"/>
  <c r="DQ18" i="3"/>
  <c r="DJ18" i="3" s="1"/>
  <c r="AV78" i="3"/>
  <c r="AV7" i="3"/>
  <c r="DQ13" i="3"/>
  <c r="DJ13" i="3" s="1"/>
  <c r="DQ51" i="3"/>
  <c r="DJ51" i="3" s="1"/>
  <c r="DQ42" i="3"/>
  <c r="DJ42" i="3" s="1"/>
  <c r="DQ29" i="3"/>
  <c r="DJ29" i="3" s="1"/>
  <c r="DL52" i="3" l="1"/>
  <c r="DL53" i="3"/>
  <c r="DL50" i="3"/>
  <c r="DL51" i="3"/>
  <c r="DL46" i="3"/>
  <c r="DN46" i="3" s="1" a="1"/>
  <c r="DN46" i="3" s="1"/>
  <c r="DL49" i="3"/>
  <c r="DL48" i="3"/>
  <c r="DL47" i="3"/>
  <c r="DL44" i="3"/>
  <c r="DL43" i="3"/>
  <c r="DL42" i="3"/>
  <c r="DL45" i="3"/>
  <c r="DL41" i="3"/>
  <c r="DL39" i="3"/>
  <c r="DL38" i="3"/>
  <c r="DL40" i="3"/>
  <c r="DL35" i="3"/>
  <c r="DL36" i="3"/>
  <c r="DL34" i="3"/>
  <c r="DL37" i="3"/>
  <c r="DL30" i="3"/>
  <c r="DN30" i="3" s="1" a="1"/>
  <c r="DN30" i="3" s="1"/>
  <c r="DL31" i="3"/>
  <c r="DN31" i="3" s="1" a="1"/>
  <c r="DN31" i="3" s="1"/>
  <c r="DL33" i="3"/>
  <c r="DL32" i="3"/>
  <c r="DL26" i="3"/>
  <c r="DL28" i="3"/>
  <c r="DL27" i="3"/>
  <c r="DL29" i="3"/>
  <c r="DL6" i="3"/>
  <c r="DL7" i="3"/>
  <c r="DL24" i="3"/>
  <c r="DL14" i="3"/>
  <c r="DL10" i="3"/>
  <c r="DL23" i="3"/>
  <c r="DL21" i="3"/>
  <c r="DL25" i="3"/>
  <c r="DL11" i="3"/>
  <c r="DN11" i="3" s="1" a="1"/>
  <c r="DN11" i="3" s="1"/>
  <c r="DL20" i="3"/>
  <c r="DL22" i="3"/>
  <c r="DL16" i="3"/>
  <c r="DL8" i="3"/>
  <c r="DL9" i="3"/>
  <c r="DL15" i="3"/>
  <c r="DL12" i="3"/>
  <c r="DL17" i="3"/>
  <c r="DL19" i="3"/>
  <c r="DL18" i="3"/>
  <c r="DF9" i="3"/>
  <c r="DL13" i="3"/>
  <c r="DF7" i="3"/>
  <c r="DF8" i="3"/>
  <c r="DG14" i="3"/>
  <c r="DG17" i="3"/>
  <c r="DG15" i="3"/>
  <c r="DG16" i="3"/>
  <c r="DG23" i="3"/>
  <c r="DG20" i="3"/>
  <c r="DG21" i="3"/>
  <c r="DG25" i="3"/>
  <c r="DG22" i="3"/>
  <c r="DG27" i="3"/>
  <c r="DG24" i="3"/>
  <c r="DG28" i="3"/>
  <c r="DG26" i="3"/>
  <c r="DG29" i="3"/>
  <c r="DG13" i="3"/>
  <c r="DG11" i="3"/>
  <c r="DG7" i="3"/>
  <c r="DG6" i="3"/>
  <c r="DG9" i="3"/>
  <c r="DG8" i="3"/>
  <c r="DG12" i="3"/>
  <c r="DG10" i="3"/>
  <c r="AU97" i="3" l="1"/>
  <c r="DN53" i="3" a="1"/>
  <c r="DN53" i="3" s="1"/>
  <c r="DM53" i="3"/>
  <c r="AU96" i="3"/>
  <c r="DM52" i="3"/>
  <c r="DN52" i="3" a="1"/>
  <c r="DN52" i="3" s="1"/>
  <c r="AU94" i="3"/>
  <c r="DN50" i="3" a="1"/>
  <c r="DN50" i="3" s="1"/>
  <c r="DM50" i="3"/>
  <c r="AU95" i="3"/>
  <c r="DM51" i="3"/>
  <c r="DN51" i="3" a="1"/>
  <c r="DN51" i="3" s="1"/>
  <c r="AU86" i="3"/>
  <c r="DM46" i="3"/>
  <c r="AU89" i="3"/>
  <c r="DN49" i="3" a="1"/>
  <c r="DN49" i="3" s="1"/>
  <c r="DM49" i="3"/>
  <c r="AU80" i="3"/>
  <c r="DN44" i="3" a="1"/>
  <c r="DN44" i="3" s="1"/>
  <c r="DM44" i="3"/>
  <c r="AU88" i="3"/>
  <c r="DN48" i="3" a="1"/>
  <c r="DN48" i="3" s="1"/>
  <c r="DM48" i="3"/>
  <c r="AU87" i="3"/>
  <c r="DM47" i="3"/>
  <c r="DN47" i="3" a="1"/>
  <c r="DN47" i="3" s="1"/>
  <c r="AU79" i="3"/>
  <c r="DN43" i="3" a="1"/>
  <c r="DN43" i="3" s="1"/>
  <c r="DM43" i="3"/>
  <c r="AU78" i="3"/>
  <c r="DN42" i="3" a="1"/>
  <c r="DN42" i="3" s="1"/>
  <c r="DM42" i="3"/>
  <c r="AU81" i="3"/>
  <c r="DN45" i="3" a="1"/>
  <c r="DN45" i="3" s="1"/>
  <c r="DM45" i="3"/>
  <c r="AU71" i="3"/>
  <c r="DM39" i="3"/>
  <c r="DN39" i="3" a="1"/>
  <c r="DN39" i="3" s="1"/>
  <c r="AU72" i="3"/>
  <c r="DM40" i="3"/>
  <c r="DN40" i="3" a="1"/>
  <c r="DN40" i="3" s="1"/>
  <c r="AU73" i="3"/>
  <c r="DM41" i="3"/>
  <c r="DN41" i="3" a="1"/>
  <c r="DN41" i="3" s="1"/>
  <c r="AU70" i="3"/>
  <c r="DN38" i="3" a="1"/>
  <c r="DN38" i="3" s="1"/>
  <c r="DM38" i="3"/>
  <c r="AU64" i="3"/>
  <c r="DM36" i="3"/>
  <c r="DN36" i="3" a="1"/>
  <c r="DN36" i="3" s="1"/>
  <c r="AU63" i="3"/>
  <c r="DM35" i="3"/>
  <c r="DN35" i="3" a="1"/>
  <c r="DN35" i="3" s="1"/>
  <c r="AU62" i="3"/>
  <c r="DM34" i="3"/>
  <c r="DN34" i="3" a="1"/>
  <c r="DN34" i="3" s="1"/>
  <c r="AU65" i="3"/>
  <c r="DM37" i="3"/>
  <c r="DN37" i="3" a="1"/>
  <c r="DN37" i="3" s="1"/>
  <c r="AU55" i="3"/>
  <c r="DM31" i="3"/>
  <c r="AU57" i="3"/>
  <c r="DM33" i="3"/>
  <c r="DN33" i="3" a="1"/>
  <c r="DN33" i="3" s="1"/>
  <c r="AU56" i="3"/>
  <c r="DN32" i="3" a="1"/>
  <c r="DN32" i="3" s="1"/>
  <c r="DM32" i="3"/>
  <c r="AU54" i="3"/>
  <c r="DM30" i="3"/>
  <c r="AU46" i="3"/>
  <c r="DN26" i="3" a="1"/>
  <c r="DN26" i="3" s="1"/>
  <c r="DM26" i="3"/>
  <c r="AU47" i="3"/>
  <c r="DN27" i="3" a="1"/>
  <c r="DN27" i="3" s="1"/>
  <c r="DM27" i="3"/>
  <c r="AU48" i="3"/>
  <c r="DN28" i="3" a="1"/>
  <c r="DN28" i="3" s="1"/>
  <c r="DM28" i="3"/>
  <c r="AU49" i="3"/>
  <c r="DN29" i="3" a="1"/>
  <c r="DN29" i="3" s="1"/>
  <c r="DM29" i="3"/>
  <c r="AU39" i="3"/>
  <c r="DN23" i="3" a="1"/>
  <c r="DN23" i="3" s="1"/>
  <c r="DM23" i="3"/>
  <c r="AU31" i="3"/>
  <c r="DN19" i="3" a="1"/>
  <c r="DM19" i="3"/>
  <c r="AU33" i="3"/>
  <c r="DM21" i="3"/>
  <c r="DN21" i="3" a="1"/>
  <c r="DN21" i="3" s="1"/>
  <c r="AU38" i="3"/>
  <c r="DM22" i="3"/>
  <c r="DN22" i="3" a="1"/>
  <c r="DN22" i="3" s="1"/>
  <c r="DN6" i="3" a="1"/>
  <c r="DN6" i="3" s="1"/>
  <c r="DM6" i="3"/>
  <c r="AU6" i="3"/>
  <c r="DN14" i="3" a="1"/>
  <c r="DN14" i="3" s="1"/>
  <c r="AU22" i="3"/>
  <c r="DM14" i="3"/>
  <c r="AU15" i="3"/>
  <c r="DM11" i="3"/>
  <c r="AU7" i="3"/>
  <c r="DN7" i="3" a="1"/>
  <c r="DN7" i="3" s="1"/>
  <c r="DM7" i="3"/>
  <c r="AU40" i="3"/>
  <c r="DN24" i="3" a="1"/>
  <c r="DN24" i="3" s="1"/>
  <c r="DM24" i="3"/>
  <c r="AU14" i="3"/>
  <c r="DM10" i="3"/>
  <c r="DN10" i="3" a="1"/>
  <c r="DN10" i="3" s="1"/>
  <c r="AU41" i="3"/>
  <c r="DM25" i="3"/>
  <c r="DN25" i="3" a="1"/>
  <c r="DN25" i="3" s="1"/>
  <c r="AU32" i="3"/>
  <c r="DM20" i="3"/>
  <c r="DN20" i="3" a="1"/>
  <c r="AU24" i="3"/>
  <c r="DN16" i="3" a="1"/>
  <c r="DN16" i="3" s="1"/>
  <c r="DM16" i="3"/>
  <c r="AU8" i="3"/>
  <c r="DM8" i="3"/>
  <c r="DN8" i="3" a="1"/>
  <c r="DN8" i="3" s="1"/>
  <c r="AU9" i="3"/>
  <c r="DN9" i="3" a="1"/>
  <c r="DN9" i="3" s="1"/>
  <c r="DM9" i="3"/>
  <c r="AU23" i="3"/>
  <c r="DN15" i="3" a="1"/>
  <c r="DN15" i="3" s="1"/>
  <c r="DM15" i="3"/>
  <c r="AU16" i="3"/>
  <c r="DM12" i="3"/>
  <c r="DN12" i="3" a="1"/>
  <c r="DN12" i="3" s="1"/>
  <c r="AU25" i="3"/>
  <c r="DM17" i="3"/>
  <c r="DN17" i="3" a="1"/>
  <c r="DN17" i="3" s="1"/>
  <c r="AU30" i="3"/>
  <c r="DM18" i="3"/>
  <c r="DN18" i="3" a="1"/>
  <c r="DN18" i="3" s="1"/>
  <c r="AU17" i="3"/>
  <c r="DM13" i="3"/>
  <c r="DN13" i="3" a="1"/>
  <c r="DN13" i="3" s="1"/>
  <c r="AU93" i="3" l="1"/>
  <c r="AV92" i="3" s="1"/>
  <c r="AU85" i="3"/>
  <c r="AV84" i="3" s="1"/>
  <c r="AU77" i="3"/>
  <c r="AV76" i="3" s="1"/>
  <c r="AU69" i="3"/>
  <c r="AV68" i="3" s="1"/>
  <c r="AU61" i="3"/>
  <c r="AV60" i="3" s="1"/>
  <c r="AU53" i="3"/>
  <c r="AV52" i="3" s="1"/>
  <c r="AU45" i="3"/>
  <c r="AV44" i="3" s="1"/>
  <c r="AU29" i="3"/>
  <c r="AV28" i="3" s="1"/>
  <c r="DN19" i="3"/>
  <c r="AU37" i="3"/>
  <c r="AV36" i="3" s="1"/>
  <c r="AU5" i="3"/>
  <c r="AV4" i="3" s="1"/>
  <c r="AU21" i="3"/>
  <c r="AV20" i="3" s="1"/>
  <c r="AU13" i="3"/>
  <c r="AV12" i="3" s="1"/>
  <c r="DN20" i="3"/>
  <c r="DF36" i="3" l="1"/>
  <c r="DF18" i="3"/>
  <c r="DF22" i="3"/>
  <c r="DF25" i="3"/>
  <c r="DF19" i="3"/>
  <c r="DF23" i="3"/>
  <c r="DF14" i="3"/>
  <c r="DF24" i="3"/>
  <c r="DF12" i="3"/>
  <c r="DF34" i="3"/>
  <c r="DF47" i="3"/>
  <c r="DF26" i="3"/>
  <c r="DF28" i="3"/>
  <c r="DF44" i="3"/>
  <c r="DF40" i="3"/>
  <c r="DF33" i="3"/>
  <c r="DF16" i="3"/>
  <c r="DF10" i="3"/>
  <c r="DF21" i="3"/>
  <c r="DF37" i="3"/>
  <c r="DF20" i="3"/>
  <c r="DF15" i="3"/>
  <c r="DF11" i="3"/>
  <c r="DF17" i="3"/>
  <c r="DF13" i="3"/>
  <c r="DF50" i="3"/>
  <c r="DF31" i="3"/>
  <c r="DF29" i="3"/>
  <c r="DF43" i="3"/>
  <c r="DF41" i="3"/>
  <c r="DF51" i="3"/>
  <c r="DF48" i="3"/>
  <c r="DF49" i="3"/>
  <c r="DF52" i="3"/>
  <c r="DF35" i="3"/>
  <c r="DF38" i="3"/>
  <c r="DF27" i="3"/>
  <c r="DF53" i="3"/>
  <c r="DF32" i="3"/>
  <c r="DF46" i="3"/>
  <c r="DF30" i="3"/>
  <c r="DF42" i="3"/>
  <c r="DF45" i="3"/>
  <c r="DF39" i="3"/>
  <c r="DG39" i="3" l="1"/>
  <c r="DG36" i="3"/>
  <c r="DG18" i="3"/>
  <c r="DG19" i="3"/>
  <c r="DG34" i="3"/>
  <c r="DG47" i="3"/>
  <c r="DG44" i="3"/>
  <c r="DG40" i="3"/>
  <c r="DG31" i="3"/>
  <c r="DG51" i="3"/>
  <c r="DG52" i="3"/>
  <c r="DG53" i="3"/>
  <c r="DG45" i="3"/>
  <c r="DG37" i="3"/>
  <c r="DG41" i="3"/>
  <c r="DG49" i="3"/>
  <c r="DG38" i="3"/>
  <c r="DG46" i="3"/>
  <c r="DG30" i="3"/>
  <c r="DG33" i="3"/>
  <c r="DG50" i="3"/>
  <c r="DG43" i="3"/>
  <c r="DG48" i="3"/>
  <c r="DG35" i="3"/>
  <c r="DG32" i="3"/>
  <c r="DG42" i="3"/>
  <c r="DH18" i="3" l="1"/>
  <c r="BN18" i="3" s="1"/>
  <c r="DH14" i="3"/>
  <c r="BN14" i="3" s="1"/>
  <c r="DH8" i="3"/>
  <c r="BN8" i="3" s="1"/>
  <c r="DH13" i="3"/>
  <c r="BN13" i="3" s="1"/>
  <c r="DH29" i="3"/>
  <c r="BN29" i="3" s="1"/>
  <c r="DH22" i="3"/>
  <c r="BN22" i="3" s="1"/>
  <c r="DH26" i="3"/>
  <c r="BN26" i="3" s="1"/>
  <c r="DH23" i="3"/>
  <c r="BN23" i="3" s="1"/>
  <c r="DH17" i="3"/>
  <c r="BN17" i="3" s="1"/>
  <c r="DH20" i="3"/>
  <c r="BN20" i="3" s="1"/>
  <c r="DH21" i="3"/>
  <c r="BN21" i="3" s="1"/>
  <c r="DH10" i="3"/>
  <c r="BN10" i="3" s="1"/>
  <c r="DH11" i="3"/>
  <c r="BN11" i="3" s="1"/>
  <c r="DH6" i="3"/>
  <c r="BN6" i="3" s="1"/>
  <c r="DH25" i="3"/>
  <c r="BN25" i="3" s="1"/>
  <c r="DH7" i="3"/>
  <c r="BN7" i="3" s="1"/>
  <c r="DH9" i="3"/>
  <c r="BN9" i="3" s="1"/>
  <c r="DH16" i="3"/>
  <c r="BN16" i="3" s="1"/>
  <c r="DH27" i="3"/>
  <c r="BN27" i="3" s="1"/>
  <c r="DH28" i="3"/>
  <c r="BN28" i="3" s="1"/>
  <c r="DH15" i="3"/>
  <c r="BN15" i="3" s="1"/>
  <c r="DH24" i="3"/>
  <c r="BN24" i="3" s="1"/>
  <c r="DH12" i="3"/>
  <c r="BN12" i="3" s="1"/>
  <c r="DH48" i="3"/>
  <c r="BN48" i="3" s="1"/>
  <c r="DH19" i="3"/>
  <c r="BN19" i="3" s="1"/>
  <c r="DH53" i="3"/>
  <c r="BN53" i="3" s="1"/>
  <c r="DH52" i="3"/>
  <c r="BN52" i="3" s="1"/>
  <c r="DH33" i="3"/>
  <c r="BN33" i="3" s="1"/>
  <c r="DH39" i="3"/>
  <c r="BN39" i="3" s="1"/>
  <c r="DH30" i="3"/>
  <c r="BN30" i="3" s="1"/>
  <c r="DH36" i="3"/>
  <c r="BN36" i="3" s="1"/>
  <c r="DH44" i="3"/>
  <c r="BN44" i="3" s="1"/>
  <c r="DH45" i="3"/>
  <c r="BN45" i="3" s="1"/>
  <c r="DH37" i="3"/>
  <c r="BN37" i="3" s="1"/>
  <c r="DH41" i="3"/>
  <c r="BN41" i="3" s="1"/>
  <c r="DH43" i="3"/>
  <c r="BN43" i="3" s="1"/>
  <c r="DH35" i="3"/>
  <c r="BN35" i="3" s="1"/>
  <c r="DH32" i="3"/>
  <c r="BN32" i="3" s="1"/>
  <c r="DH42" i="3"/>
  <c r="BN42" i="3" s="1"/>
  <c r="DH49" i="3"/>
  <c r="BN49" i="3" s="1"/>
  <c r="DH46" i="3"/>
  <c r="BN46" i="3" s="1"/>
  <c r="DH47" i="3"/>
  <c r="BN47" i="3" s="1"/>
  <c r="DH51" i="3"/>
  <c r="BN51" i="3" s="1"/>
  <c r="DH34" i="3"/>
  <c r="BN34" i="3" s="1"/>
  <c r="DH40" i="3"/>
  <c r="BN40" i="3" s="1"/>
  <c r="DH50" i="3"/>
  <c r="BN50" i="3" s="1"/>
  <c r="DH31" i="3"/>
  <c r="BN31" i="3" s="1"/>
  <c r="DH38" i="3"/>
  <c r="BN38" i="3" s="1"/>
  <c r="BK59" i="3" l="1"/>
  <c r="BJ60" i="3"/>
  <c r="BK60" i="3"/>
  <c r="BH58" i="3"/>
  <c r="BI59" i="3"/>
  <c r="BG59" i="3"/>
  <c r="BG58" i="3"/>
  <c r="AL25" i="3"/>
  <c r="AL22" i="3"/>
  <c r="BH60" i="3"/>
  <c r="AL16" i="3"/>
  <c r="AL15" i="3"/>
  <c r="AL7" i="3"/>
  <c r="AL8" i="3"/>
  <c r="BD59" i="3"/>
  <c r="BI60" i="3"/>
  <c r="AL24" i="3"/>
  <c r="BD60" i="3"/>
  <c r="AL9" i="3"/>
  <c r="BD58" i="3"/>
  <c r="AL14" i="3"/>
  <c r="AL6" i="3"/>
  <c r="AL17" i="3"/>
  <c r="AL23" i="3"/>
  <c r="AL40" i="3"/>
  <c r="BD63" i="3"/>
  <c r="AL38" i="3"/>
  <c r="AL49" i="3"/>
  <c r="BD62" i="3"/>
  <c r="AL46" i="3"/>
  <c r="AL33" i="3"/>
  <c r="AL31" i="3"/>
  <c r="AL30" i="3"/>
  <c r="BI61" i="3"/>
  <c r="BI62" i="3"/>
  <c r="BJ62" i="3"/>
  <c r="BK61" i="3"/>
  <c r="BK63" i="3"/>
  <c r="BJ58" i="3"/>
  <c r="BK62" i="3"/>
  <c r="AL47" i="3"/>
  <c r="AL41" i="3"/>
  <c r="AL48" i="3"/>
  <c r="BD61" i="3"/>
  <c r="AL32" i="3"/>
  <c r="AL39" i="3"/>
  <c r="BI63" i="3"/>
  <c r="BH61" i="3"/>
  <c r="BH62" i="3"/>
  <c r="BH63" i="3"/>
  <c r="BK64" i="3"/>
  <c r="BG63" i="3"/>
  <c r="BG61" i="3"/>
  <c r="BG62" i="3"/>
  <c r="AL78" i="3"/>
  <c r="M114" i="3" s="1"/>
  <c r="AA115" i="3" s="1"/>
  <c r="BD69" i="3"/>
  <c r="BD68" i="3"/>
  <c r="AL94" i="3"/>
  <c r="M108" i="3" s="1"/>
  <c r="AA108" i="3" s="1"/>
  <c r="BD65" i="3"/>
  <c r="AL57" i="3"/>
  <c r="AL96" i="3"/>
  <c r="AL71" i="3"/>
  <c r="N106" i="3" s="1"/>
  <c r="AF105" i="3" s="1"/>
  <c r="AL79" i="3"/>
  <c r="N112" i="3" s="1"/>
  <c r="AF111" i="3" s="1"/>
  <c r="AL55" i="3"/>
  <c r="N116" i="3" s="1"/>
  <c r="AF114" i="3" s="1"/>
  <c r="AL95" i="3"/>
  <c r="N111" i="3" s="1"/>
  <c r="AF112" i="3" s="1"/>
  <c r="AL86" i="3"/>
  <c r="M115" i="3" s="1"/>
  <c r="AA116" i="3" s="1"/>
  <c r="AL87" i="3"/>
  <c r="M111" i="3" s="1"/>
  <c r="AA112" i="3" s="1"/>
  <c r="AL65" i="3"/>
  <c r="BG67" i="3"/>
  <c r="BI68" i="3"/>
  <c r="BG64" i="3"/>
  <c r="BI67" i="3"/>
  <c r="BI64" i="3"/>
  <c r="BG65" i="3"/>
  <c r="BG68" i="3"/>
  <c r="BH65" i="3"/>
  <c r="BG69" i="3"/>
  <c r="BI66" i="3"/>
  <c r="BH66" i="3"/>
  <c r="BJ69" i="3"/>
  <c r="BK69" i="3"/>
  <c r="BK67" i="3"/>
  <c r="AL70" i="3"/>
  <c r="M105" i="3" s="1"/>
  <c r="AA106" i="3" s="1"/>
  <c r="AL89" i="3"/>
  <c r="BD64" i="3"/>
  <c r="BH67" i="3"/>
  <c r="AL64" i="3"/>
  <c r="BD66" i="3"/>
  <c r="AL62" i="3"/>
  <c r="M112" i="3" s="1"/>
  <c r="AA111" i="3" s="1"/>
  <c r="AL80" i="3"/>
  <c r="AL72" i="3"/>
  <c r="AL73" i="3"/>
  <c r="BH69" i="3"/>
  <c r="AL88" i="3"/>
  <c r="AL97" i="3"/>
  <c r="AL63" i="3"/>
  <c r="N114" i="3" s="1"/>
  <c r="AF115" i="3" s="1"/>
  <c r="AL56" i="3"/>
  <c r="BD67" i="3"/>
  <c r="AL81" i="3"/>
  <c r="AL54" i="3"/>
  <c r="M110" i="3" s="1"/>
  <c r="AA109" i="3" s="1"/>
  <c r="BK66" i="3"/>
  <c r="BJ68" i="3"/>
  <c r="BK65" i="3"/>
  <c r="BK68" i="3"/>
  <c r="C137" i="31" l="1"/>
  <c r="AA36" i="45"/>
  <c r="D108" i="3"/>
  <c r="AA16" i="45"/>
  <c r="C157" i="31"/>
  <c r="AA48" i="45"/>
  <c r="C145" i="31"/>
  <c r="D116" i="3"/>
  <c r="AA15" i="45"/>
  <c r="C175" i="31"/>
  <c r="B175" i="31"/>
  <c r="C141" i="31"/>
  <c r="D112" i="3"/>
  <c r="AA39" i="45"/>
  <c r="C144" i="31"/>
  <c r="D115" i="3"/>
  <c r="C156" i="31"/>
  <c r="AA19" i="45"/>
  <c r="AA31" i="45"/>
  <c r="C150" i="31"/>
  <c r="C135" i="31"/>
  <c r="AA6" i="45"/>
  <c r="D106" i="3"/>
  <c r="AR40" i="3"/>
  <c r="AN40" i="3"/>
  <c r="AS40" i="3"/>
  <c r="AT40" i="3"/>
  <c r="J38" i="45" s="1"/>
  <c r="C140" i="31"/>
  <c r="C174" i="31"/>
  <c r="B174" i="31"/>
  <c r="AA18" i="45"/>
  <c r="D111" i="3"/>
  <c r="C160" i="31"/>
  <c r="B178" i="31"/>
  <c r="AA40" i="45"/>
  <c r="C178" i="31"/>
  <c r="C159" i="31"/>
  <c r="AA43" i="45"/>
  <c r="C138" i="31"/>
  <c r="AA24" i="45"/>
  <c r="D109" i="3"/>
  <c r="AP40" i="3"/>
  <c r="H38" i="45"/>
  <c r="AK40" i="3" a="1"/>
  <c r="AK40" i="3" s="1"/>
  <c r="AQ40" i="3"/>
  <c r="AO40" i="3"/>
  <c r="AM40" i="3"/>
  <c r="I38" i="45" s="1"/>
  <c r="H157" i="40"/>
  <c r="H68" i="40"/>
  <c r="H61" i="40"/>
  <c r="H237" i="40"/>
  <c r="BL62" i="3"/>
  <c r="H443" i="40"/>
  <c r="H3" i="40"/>
  <c r="H71" i="40"/>
  <c r="H205" i="40"/>
  <c r="H107" i="40"/>
  <c r="H59" i="40"/>
  <c r="H279" i="40"/>
  <c r="H84" i="40"/>
  <c r="H485" i="40"/>
  <c r="H379" i="40"/>
  <c r="H383" i="40"/>
  <c r="H79" i="40"/>
  <c r="H451" i="40"/>
  <c r="H155" i="40"/>
  <c r="H280" i="40"/>
  <c r="H361" i="40"/>
  <c r="H459" i="40"/>
  <c r="H378" i="40"/>
  <c r="F169" i="40"/>
  <c r="H10" i="40"/>
  <c r="BE58" i="3"/>
  <c r="BR58" i="3" s="1"/>
  <c r="AM25" i="3"/>
  <c r="I23" i="45" s="1"/>
  <c r="AK25" i="3" a="1"/>
  <c r="AK25" i="3" s="1"/>
  <c r="AR25" i="3"/>
  <c r="H23" i="45"/>
  <c r="AN25" i="3"/>
  <c r="AT25" i="3"/>
  <c r="J23" i="45" s="1"/>
  <c r="AQ25" i="3"/>
  <c r="AS25" i="3"/>
  <c r="AO25" i="3"/>
  <c r="AP25" i="3"/>
  <c r="AR22" i="3"/>
  <c r="AS22" i="3"/>
  <c r="AT22" i="3"/>
  <c r="J20" i="45" s="1"/>
  <c r="AO22" i="3"/>
  <c r="H20" i="45"/>
  <c r="AM22" i="3"/>
  <c r="I20" i="45" s="1"/>
  <c r="AK22" i="3" a="1"/>
  <c r="AK22" i="3" s="1"/>
  <c r="M104" i="3"/>
  <c r="AA102" i="3" s="1"/>
  <c r="AQ22" i="3"/>
  <c r="AP22" i="3"/>
  <c r="AN22" i="3"/>
  <c r="H14" i="45"/>
  <c r="AQ16" i="3"/>
  <c r="AK16" i="3" a="1"/>
  <c r="AK16" i="3" s="1"/>
  <c r="AN16" i="3"/>
  <c r="AP16" i="3"/>
  <c r="AT16" i="3"/>
  <c r="J14" i="45" s="1"/>
  <c r="AS16" i="3"/>
  <c r="AR16" i="3"/>
  <c r="AM16" i="3"/>
  <c r="I14" i="45" s="1"/>
  <c r="AO16" i="3"/>
  <c r="AK15" i="3" a="1"/>
  <c r="AK15" i="3" s="1"/>
  <c r="N101" i="3"/>
  <c r="AF101" i="3" s="1"/>
  <c r="AT15" i="3"/>
  <c r="J13" i="45" s="1"/>
  <c r="AP15" i="3"/>
  <c r="AQ15" i="3"/>
  <c r="H13" i="45"/>
  <c r="AM15" i="3"/>
  <c r="I13" i="45" s="1"/>
  <c r="AN15" i="3"/>
  <c r="AO15" i="3"/>
  <c r="AR15" i="3"/>
  <c r="AS15" i="3"/>
  <c r="H5" i="45"/>
  <c r="AR7" i="3"/>
  <c r="AO7" i="3"/>
  <c r="AK7" i="3" a="1"/>
  <c r="AK7" i="3" s="1"/>
  <c r="AP7" i="3"/>
  <c r="AN7" i="3"/>
  <c r="AQ7" i="3"/>
  <c r="AS7" i="3"/>
  <c r="AM7" i="3"/>
  <c r="I5" i="45" s="1"/>
  <c r="AT7" i="3"/>
  <c r="J5" i="45" s="1"/>
  <c r="M101" i="3"/>
  <c r="AA101" i="3" s="1"/>
  <c r="AT8" i="3"/>
  <c r="J6" i="45" s="1"/>
  <c r="AM8" i="3"/>
  <c r="I6" i="45" s="1"/>
  <c r="AP8" i="3"/>
  <c r="AO8" i="3"/>
  <c r="AK8" i="3" a="1"/>
  <c r="AK8" i="3" s="1"/>
  <c r="AS8" i="3"/>
  <c r="AQ8" i="3"/>
  <c r="AR8" i="3"/>
  <c r="K6" i="45" s="1"/>
  <c r="AN8" i="3"/>
  <c r="H6" i="45"/>
  <c r="E355" i="40"/>
  <c r="E372" i="40"/>
  <c r="E482" i="40"/>
  <c r="E359" i="40"/>
  <c r="E60" i="40"/>
  <c r="E490" i="40"/>
  <c r="E438" i="40"/>
  <c r="E145" i="40"/>
  <c r="E462" i="40"/>
  <c r="E463" i="40"/>
  <c r="E341" i="40"/>
  <c r="E465" i="40"/>
  <c r="E373" i="40"/>
  <c r="E309" i="40"/>
  <c r="E75" i="40"/>
  <c r="E418" i="40"/>
  <c r="E487" i="40"/>
  <c r="E390" i="40"/>
  <c r="E305" i="40"/>
  <c r="E325" i="40"/>
  <c r="E389" i="40"/>
  <c r="E148" i="40"/>
  <c r="E139" i="40"/>
  <c r="E404" i="40"/>
  <c r="E327" i="40"/>
  <c r="E494" i="40"/>
  <c r="E287" i="40"/>
  <c r="E489" i="40"/>
  <c r="E63" i="40"/>
  <c r="E153" i="40"/>
  <c r="E387" i="40"/>
  <c r="E69" i="40"/>
  <c r="E73" i="40"/>
  <c r="E299" i="40"/>
  <c r="E132" i="40"/>
  <c r="E107" i="40"/>
  <c r="E68" i="40"/>
  <c r="E65" i="40"/>
  <c r="E121" i="40"/>
  <c r="E58" i="40"/>
  <c r="E449" i="40"/>
  <c r="E347" i="40"/>
  <c r="E345" i="40"/>
  <c r="E430" i="40"/>
  <c r="E157" i="40"/>
  <c r="E141" i="40"/>
  <c r="E432" i="40"/>
  <c r="E114" i="40"/>
  <c r="E433" i="40"/>
  <c r="E106" i="40"/>
  <c r="E166" i="40"/>
  <c r="E420" i="40"/>
  <c r="E478" i="40"/>
  <c r="E72" i="40"/>
  <c r="E468" i="40"/>
  <c r="E91" i="40"/>
  <c r="E151" i="40"/>
  <c r="E415" i="40"/>
  <c r="E363" i="40"/>
  <c r="E159" i="40"/>
  <c r="E461" i="40"/>
  <c r="E446" i="40"/>
  <c r="E459" i="40"/>
  <c r="E403" i="40"/>
  <c r="E161" i="40"/>
  <c r="E349" i="40"/>
  <c r="E307" i="40"/>
  <c r="E367" i="40"/>
  <c r="E378" i="40"/>
  <c r="E360" i="40"/>
  <c r="E154" i="40"/>
  <c r="E440" i="40"/>
  <c r="E452" i="40"/>
  <c r="E414" i="40"/>
  <c r="E419" i="40"/>
  <c r="E398" i="40"/>
  <c r="E434" i="40"/>
  <c r="E127" i="40"/>
  <c r="E473" i="40"/>
  <c r="E315" i="40"/>
  <c r="E458" i="40"/>
  <c r="E128" i="40"/>
  <c r="E470" i="40"/>
  <c r="E163" i="40"/>
  <c r="E491" i="40"/>
  <c r="E422" i="40"/>
  <c r="E353" i="40"/>
  <c r="E399" i="40"/>
  <c r="E443" i="40"/>
  <c r="E115" i="40"/>
  <c r="E350" i="40"/>
  <c r="E50" i="40"/>
  <c r="E117" i="40"/>
  <c r="E98" i="40"/>
  <c r="E337" i="40"/>
  <c r="E469" i="40"/>
  <c r="E380" i="40"/>
  <c r="E86" i="40"/>
  <c r="E138" i="40"/>
  <c r="E316" i="40"/>
  <c r="E437" i="40"/>
  <c r="E429" i="40"/>
  <c r="E93" i="40"/>
  <c r="E156" i="40"/>
  <c r="E444" i="40"/>
  <c r="E426" i="40"/>
  <c r="E59" i="40"/>
  <c r="E317" i="40"/>
  <c r="E324" i="40"/>
  <c r="E126" i="40"/>
  <c r="E406" i="40"/>
  <c r="E79" i="40"/>
  <c r="E407" i="40"/>
  <c r="E479" i="40"/>
  <c r="E119" i="40"/>
  <c r="E300" i="40"/>
  <c r="E424" i="40"/>
  <c r="E113" i="40"/>
  <c r="E405" i="40"/>
  <c r="E382" i="40"/>
  <c r="E457" i="40"/>
  <c r="E481" i="40"/>
  <c r="E417" i="40"/>
  <c r="E90" i="40"/>
  <c r="E293" i="40"/>
  <c r="E295" i="40"/>
  <c r="E101" i="40"/>
  <c r="E486" i="40"/>
  <c r="E122" i="40"/>
  <c r="F48" i="40"/>
  <c r="E318" i="40"/>
  <c r="E383" i="40"/>
  <c r="E322" i="40"/>
  <c r="E352" i="40"/>
  <c r="E70" i="40"/>
  <c r="E302" i="40"/>
  <c r="E129" i="40"/>
  <c r="E408" i="40"/>
  <c r="E471" i="40"/>
  <c r="E149" i="40"/>
  <c r="E80" i="40"/>
  <c r="E288" i="40"/>
  <c r="E150" i="40"/>
  <c r="E137" i="40"/>
  <c r="E329" i="40"/>
  <c r="E428" i="40"/>
  <c r="E123" i="40"/>
  <c r="E431" i="40"/>
  <c r="E330" i="40"/>
  <c r="E112" i="40"/>
  <c r="E413" i="40"/>
  <c r="E376" i="40"/>
  <c r="E346" i="40"/>
  <c r="E379" i="40"/>
  <c r="E103" i="40"/>
  <c r="E81" i="40"/>
  <c r="E442" i="40"/>
  <c r="E105" i="40"/>
  <c r="E47" i="40"/>
  <c r="E88" i="40"/>
  <c r="E441" i="40"/>
  <c r="E312" i="40"/>
  <c r="E392" i="40"/>
  <c r="E136" i="40"/>
  <c r="E135" i="40"/>
  <c r="E125" i="40"/>
  <c r="E381" i="40"/>
  <c r="E96" i="40"/>
  <c r="E158" i="40"/>
  <c r="E314" i="40"/>
  <c r="E411" i="40"/>
  <c r="E118" i="40"/>
  <c r="E99" i="40"/>
  <c r="E108" i="40"/>
  <c r="E84" i="40"/>
  <c r="E466" i="40"/>
  <c r="E77" i="40"/>
  <c r="E370" i="40"/>
  <c r="E304" i="40"/>
  <c r="E78" i="40"/>
  <c r="E54" i="40"/>
  <c r="E94" i="40"/>
  <c r="E395" i="40"/>
  <c r="E368" i="40"/>
  <c r="E55" i="40"/>
  <c r="E453" i="40"/>
  <c r="E427" i="40"/>
  <c r="E333" i="40"/>
  <c r="E144" i="40"/>
  <c r="E289" i="40"/>
  <c r="E477" i="40"/>
  <c r="E375" i="40"/>
  <c r="E296" i="40"/>
  <c r="E61" i="40"/>
  <c r="E492" i="40"/>
  <c r="E100" i="40"/>
  <c r="E51" i="40"/>
  <c r="E357" i="40"/>
  <c r="E160" i="40"/>
  <c r="E364" i="40"/>
  <c r="E366" i="40"/>
  <c r="E85" i="40"/>
  <c r="E450" i="40"/>
  <c r="E67" i="40"/>
  <c r="E402" i="40"/>
  <c r="E155" i="40"/>
  <c r="E374" i="40"/>
  <c r="E111" i="40"/>
  <c r="E152" i="40"/>
  <c r="E467" i="40"/>
  <c r="E162" i="40"/>
  <c r="E412" i="40"/>
  <c r="E56" i="40"/>
  <c r="E339" i="40"/>
  <c r="E484" i="40"/>
  <c r="E110" i="40"/>
  <c r="E454" i="40"/>
  <c r="E321" i="40"/>
  <c r="E303" i="40"/>
  <c r="E439" i="40"/>
  <c r="E124" i="40"/>
  <c r="E320" i="40"/>
  <c r="E83" i="40"/>
  <c r="E410" i="40"/>
  <c r="E297" i="40"/>
  <c r="E351" i="40"/>
  <c r="E385" i="40"/>
  <c r="E308" i="40"/>
  <c r="E460" i="40"/>
  <c r="E338" i="40"/>
  <c r="E146" i="40"/>
  <c r="E102" i="40"/>
  <c r="E356" i="40"/>
  <c r="E89" i="40"/>
  <c r="E294" i="40"/>
  <c r="E52" i="40"/>
  <c r="E328" i="40"/>
  <c r="E348" i="40"/>
  <c r="E334" i="40"/>
  <c r="E116" i="40"/>
  <c r="E451" i="40"/>
  <c r="E130" i="40"/>
  <c r="E313" i="40"/>
  <c r="E361" i="40"/>
  <c r="E291" i="40"/>
  <c r="E298" i="40"/>
  <c r="E292" i="40"/>
  <c r="E92" i="40"/>
  <c r="E62" i="40"/>
  <c r="E369" i="40"/>
  <c r="E164" i="40"/>
  <c r="E143" i="40"/>
  <c r="E455" i="40"/>
  <c r="E49" i="40"/>
  <c r="E306" i="40"/>
  <c r="E448" i="40"/>
  <c r="E66" i="40"/>
  <c r="E393" i="40"/>
  <c r="E82" i="40"/>
  <c r="E147" i="40"/>
  <c r="E435" i="40"/>
  <c r="E391" i="40"/>
  <c r="E311" i="40"/>
  <c r="E140" i="40"/>
  <c r="E388" i="40"/>
  <c r="E397" i="40"/>
  <c r="E483" i="40"/>
  <c r="E493" i="40"/>
  <c r="E472" i="40"/>
  <c r="E64" i="40"/>
  <c r="E409" i="40"/>
  <c r="E344" i="40"/>
  <c r="E326" i="40"/>
  <c r="E421" i="40"/>
  <c r="E485" i="40"/>
  <c r="E310" i="40"/>
  <c r="E340" i="40"/>
  <c r="E447" i="40"/>
  <c r="E301" i="40"/>
  <c r="E165" i="40"/>
  <c r="E53" i="40"/>
  <c r="E358" i="40"/>
  <c r="E142" i="40"/>
  <c r="E371" i="40"/>
  <c r="E335" i="40"/>
  <c r="E456" i="40"/>
  <c r="E423" i="40"/>
  <c r="E464" i="40"/>
  <c r="E343" i="40"/>
  <c r="E319" i="40"/>
  <c r="E71" i="40"/>
  <c r="E445" i="40"/>
  <c r="E394" i="40"/>
  <c r="E74" i="40"/>
  <c r="E495" i="40"/>
  <c r="E133" i="40"/>
  <c r="E475" i="40"/>
  <c r="E416" i="40"/>
  <c r="E290" i="40"/>
  <c r="E76" i="40"/>
  <c r="E377" i="40"/>
  <c r="E332" i="40"/>
  <c r="E131" i="40"/>
  <c r="E354" i="40"/>
  <c r="E57" i="40"/>
  <c r="E400" i="40"/>
  <c r="E436" i="40"/>
  <c r="E87" i="40"/>
  <c r="E120" i="40"/>
  <c r="E396" i="40"/>
  <c r="E331" i="40"/>
  <c r="E104" i="40"/>
  <c r="E134" i="40"/>
  <c r="E474" i="40"/>
  <c r="E386" i="40"/>
  <c r="E342" i="40"/>
  <c r="E401" i="40"/>
  <c r="E496" i="40"/>
  <c r="E488" i="40"/>
  <c r="E425" i="40"/>
  <c r="E336" i="40"/>
  <c r="E95" i="40"/>
  <c r="E109" i="40"/>
  <c r="E323" i="40"/>
  <c r="E384" i="40"/>
  <c r="E480" i="40"/>
  <c r="E97" i="40"/>
  <c r="E365" i="40"/>
  <c r="E362" i="40"/>
  <c r="E476" i="40"/>
  <c r="BH59" i="3"/>
  <c r="AN24" i="3"/>
  <c r="AS24" i="3"/>
  <c r="H22" i="45"/>
  <c r="AK24" i="3" a="1"/>
  <c r="AK24" i="3" s="1"/>
  <c r="AP24" i="3"/>
  <c r="AR24" i="3"/>
  <c r="AQ24" i="3"/>
  <c r="AO24" i="3"/>
  <c r="AT24" i="3"/>
  <c r="J22" i="45" s="1"/>
  <c r="AM24" i="3"/>
  <c r="I22" i="45" s="1"/>
  <c r="F224" i="40"/>
  <c r="C270" i="40"/>
  <c r="C244" i="40"/>
  <c r="F420" i="40"/>
  <c r="F274" i="40"/>
  <c r="F481" i="40"/>
  <c r="C153" i="40"/>
  <c r="F475" i="40"/>
  <c r="F461" i="40"/>
  <c r="F399" i="40"/>
  <c r="F439" i="40"/>
  <c r="F96" i="40"/>
  <c r="C152" i="40"/>
  <c r="F396" i="40"/>
  <c r="F212" i="40"/>
  <c r="C458" i="40"/>
  <c r="F139" i="40"/>
  <c r="C123" i="40"/>
  <c r="C457" i="40"/>
  <c r="C20" i="40"/>
  <c r="F235" i="40"/>
  <c r="C157" i="40"/>
  <c r="F488" i="40"/>
  <c r="C130" i="40"/>
  <c r="F261" i="40"/>
  <c r="C125" i="40"/>
  <c r="C119" i="40"/>
  <c r="F429" i="40"/>
  <c r="F404" i="40"/>
  <c r="F373" i="40"/>
  <c r="F407" i="40"/>
  <c r="F405" i="40"/>
  <c r="F145" i="40"/>
  <c r="C40" i="40"/>
  <c r="C124" i="40"/>
  <c r="F105" i="40"/>
  <c r="F430" i="40"/>
  <c r="F110" i="40"/>
  <c r="F89" i="40"/>
  <c r="F85" i="40"/>
  <c r="F232" i="40"/>
  <c r="F406" i="40"/>
  <c r="F142" i="40"/>
  <c r="F13" i="40"/>
  <c r="C158" i="40"/>
  <c r="F477" i="40"/>
  <c r="F246" i="40"/>
  <c r="F29" i="40"/>
  <c r="F276" i="40"/>
  <c r="C482" i="40"/>
  <c r="C35" i="40"/>
  <c r="C163" i="40"/>
  <c r="F395" i="40"/>
  <c r="F90" i="40"/>
  <c r="F401" i="40"/>
  <c r="F374" i="40"/>
  <c r="F440" i="40"/>
  <c r="F233" i="40"/>
  <c r="F402" i="40"/>
  <c r="F131" i="40"/>
  <c r="F436" i="40"/>
  <c r="F371" i="40"/>
  <c r="F468" i="40"/>
  <c r="F253" i="40"/>
  <c r="F230" i="40"/>
  <c r="C151" i="40"/>
  <c r="F421" i="40"/>
  <c r="C129" i="40"/>
  <c r="F423" i="40"/>
  <c r="F424" i="40"/>
  <c r="F391" i="40"/>
  <c r="F133" i="40"/>
  <c r="C45" i="40"/>
  <c r="F284" i="40"/>
  <c r="F419" i="40"/>
  <c r="F266" i="40"/>
  <c r="F132" i="40"/>
  <c r="F433" i="40"/>
  <c r="C485" i="40"/>
  <c r="C161" i="40"/>
  <c r="C162" i="40"/>
  <c r="C126" i="40"/>
  <c r="F223" i="40"/>
  <c r="F16" i="40"/>
  <c r="F140" i="40"/>
  <c r="F144" i="40"/>
  <c r="C281" i="40"/>
  <c r="F219" i="40"/>
  <c r="F262" i="40"/>
  <c r="C442" i="40"/>
  <c r="F451" i="40"/>
  <c r="F467" i="40"/>
  <c r="F136" i="40"/>
  <c r="F165" i="40"/>
  <c r="C277" i="40"/>
  <c r="F427" i="40"/>
  <c r="F390" i="40"/>
  <c r="F91" i="40"/>
  <c r="C33" i="40"/>
  <c r="F377" i="40"/>
  <c r="F113" i="40"/>
  <c r="F255" i="40"/>
  <c r="F97" i="40"/>
  <c r="F273" i="40"/>
  <c r="F258" i="40"/>
  <c r="C160" i="40"/>
  <c r="F414" i="40"/>
  <c r="F460" i="40"/>
  <c r="F146" i="40"/>
  <c r="F408" i="40"/>
  <c r="F98" i="40"/>
  <c r="F205" i="40"/>
  <c r="H398" i="40"/>
  <c r="C493" i="40"/>
  <c r="F257" i="40"/>
  <c r="F473" i="40"/>
  <c r="F94" i="40"/>
  <c r="C483" i="40"/>
  <c r="F115" i="40"/>
  <c r="F380" i="40"/>
  <c r="F249" i="40"/>
  <c r="F259" i="40"/>
  <c r="F93" i="40"/>
  <c r="F215" i="40"/>
  <c r="C268" i="40"/>
  <c r="C282" i="40"/>
  <c r="F479" i="40"/>
  <c r="F466" i="40"/>
  <c r="C434" i="40"/>
  <c r="C278" i="40"/>
  <c r="F416" i="40"/>
  <c r="F112" i="40"/>
  <c r="C24" i="40"/>
  <c r="C22" i="40"/>
  <c r="F415" i="40"/>
  <c r="F251" i="40"/>
  <c r="F478" i="40"/>
  <c r="C154" i="40"/>
  <c r="F412" i="40"/>
  <c r="F496" i="40"/>
  <c r="C435" i="40"/>
  <c r="F135" i="40"/>
  <c r="F450" i="40"/>
  <c r="F252" i="40"/>
  <c r="F214" i="40"/>
  <c r="F264" i="40"/>
  <c r="F437" i="40"/>
  <c r="F107" i="40"/>
  <c r="F411" i="40"/>
  <c r="C444" i="40"/>
  <c r="C382" i="40"/>
  <c r="F209" i="40"/>
  <c r="F389" i="40"/>
  <c r="C147" i="40"/>
  <c r="F400" i="40"/>
  <c r="H392" i="40"/>
  <c r="F87" i="40"/>
  <c r="C41" i="40"/>
  <c r="F465" i="40"/>
  <c r="F471" i="40"/>
  <c r="F86" i="40"/>
  <c r="F114" i="40"/>
  <c r="F378" i="40"/>
  <c r="C159" i="40"/>
  <c r="F15" i="40"/>
  <c r="F271" i="40"/>
  <c r="F441" i="40"/>
  <c r="C247" i="40"/>
  <c r="F417" i="40"/>
  <c r="F18" i="40"/>
  <c r="F463" i="40"/>
  <c r="C150" i="40"/>
  <c r="F30" i="40"/>
  <c r="F241" i="40"/>
  <c r="F128" i="40"/>
  <c r="F272" i="40"/>
  <c r="F26" i="40"/>
  <c r="C267" i="40"/>
  <c r="F218" i="40"/>
  <c r="F459" i="40"/>
  <c r="C166" i="40"/>
  <c r="F211" i="40"/>
  <c r="F17" i="40"/>
  <c r="C237" i="40"/>
  <c r="F410" i="40"/>
  <c r="F446" i="40"/>
  <c r="C492" i="40"/>
  <c r="F141" i="40"/>
  <c r="F386" i="40"/>
  <c r="F387" i="40"/>
  <c r="F100" i="40"/>
  <c r="F462" i="40"/>
  <c r="C269" i="40"/>
  <c r="F106" i="40"/>
  <c r="C43" i="40"/>
  <c r="F476" i="40"/>
  <c r="F104" i="40"/>
  <c r="C443" i="40"/>
  <c r="F397" i="40"/>
  <c r="F491" i="40"/>
  <c r="F95" i="40"/>
  <c r="F213" i="40"/>
  <c r="F376" i="40"/>
  <c r="C120" i="40"/>
  <c r="C149" i="40"/>
  <c r="F231" i="40"/>
  <c r="C155" i="40"/>
  <c r="F375" i="40"/>
  <c r="C453" i="40"/>
  <c r="F449" i="40"/>
  <c r="F409" i="40"/>
  <c r="C117" i="40"/>
  <c r="F381" i="40"/>
  <c r="C38" i="40"/>
  <c r="C245" i="40"/>
  <c r="F489" i="40"/>
  <c r="F92" i="40"/>
  <c r="C452" i="40"/>
  <c r="F221" i="40"/>
  <c r="F207" i="40"/>
  <c r="F265" i="40"/>
  <c r="F14" i="40"/>
  <c r="C118" i="40"/>
  <c r="F256" i="40"/>
  <c r="C454" i="40"/>
  <c r="F111" i="40"/>
  <c r="F101" i="40"/>
  <c r="F228" i="40"/>
  <c r="F448" i="40"/>
  <c r="F19" i="40"/>
  <c r="F220" i="40"/>
  <c r="F210" i="40"/>
  <c r="C495" i="40"/>
  <c r="F203" i="40"/>
  <c r="F134" i="40"/>
  <c r="F428" i="40"/>
  <c r="F102" i="40"/>
  <c r="C34" i="40"/>
  <c r="C21" i="40"/>
  <c r="F12" i="40"/>
  <c r="F464" i="40"/>
  <c r="F227" i="40"/>
  <c r="C39" i="40"/>
  <c r="F422" i="40"/>
  <c r="F99" i="40"/>
  <c r="F208" i="40"/>
  <c r="C486" i="40"/>
  <c r="C32" i="40"/>
  <c r="C456" i="40"/>
  <c r="F137" i="40"/>
  <c r="F438" i="40"/>
  <c r="F225" i="40"/>
  <c r="C484" i="40"/>
  <c r="F425" i="40"/>
  <c r="C455" i="40"/>
  <c r="F480" i="40"/>
  <c r="C279" i="40"/>
  <c r="F470" i="40"/>
  <c r="F379" i="40"/>
  <c r="F286" i="40"/>
  <c r="F31" i="40"/>
  <c r="C23" i="40"/>
  <c r="F490" i="40"/>
  <c r="F388" i="40"/>
  <c r="C487" i="40"/>
  <c r="F217" i="40"/>
  <c r="C445" i="40"/>
  <c r="C36" i="40"/>
  <c r="F393" i="40"/>
  <c r="C122" i="40"/>
  <c r="C156" i="40"/>
  <c r="F116" i="40"/>
  <c r="F88" i="40"/>
  <c r="F204" i="40"/>
  <c r="F239" i="40"/>
  <c r="F234" i="40"/>
  <c r="F431" i="40"/>
  <c r="C42" i="40"/>
  <c r="F472" i="40"/>
  <c r="F250" i="40"/>
  <c r="F474" i="40"/>
  <c r="F222" i="40"/>
  <c r="F403" i="40"/>
  <c r="C46" i="40"/>
  <c r="F383" i="40"/>
  <c r="C164" i="40"/>
  <c r="F109" i="40"/>
  <c r="C121" i="40"/>
  <c r="C25" i="40"/>
  <c r="F248" i="40"/>
  <c r="F138" i="40"/>
  <c r="C494" i="40"/>
  <c r="C44" i="40"/>
  <c r="F27" i="40"/>
  <c r="F285" i="40"/>
  <c r="C148" i="40"/>
  <c r="C432" i="40"/>
  <c r="C447" i="40"/>
  <c r="C384" i="40"/>
  <c r="F216" i="40"/>
  <c r="F418" i="40"/>
  <c r="F83" i="40"/>
  <c r="F103" i="40"/>
  <c r="F275" i="40"/>
  <c r="F413" i="40"/>
  <c r="F254" i="40"/>
  <c r="C280" i="40"/>
  <c r="C37" i="40"/>
  <c r="F238" i="40"/>
  <c r="C242" i="40"/>
  <c r="F394" i="40"/>
  <c r="F469" i="40"/>
  <c r="F11" i="40"/>
  <c r="C385" i="40"/>
  <c r="C127" i="40"/>
  <c r="C243" i="40"/>
  <c r="F28" i="40"/>
  <c r="F226" i="40"/>
  <c r="F240" i="40"/>
  <c r="F260" i="40"/>
  <c r="F372" i="40"/>
  <c r="F236" i="40"/>
  <c r="F143" i="40"/>
  <c r="F426" i="40"/>
  <c r="F206" i="40"/>
  <c r="F263" i="40"/>
  <c r="F84" i="40"/>
  <c r="F108" i="40"/>
  <c r="F229" i="40"/>
  <c r="F283" i="40"/>
  <c r="BG60" i="3"/>
  <c r="BF60" i="3" s="1"/>
  <c r="BE60" i="3" s="1"/>
  <c r="BR60" i="3" s="1"/>
  <c r="AS9" i="3"/>
  <c r="AP9" i="3"/>
  <c r="AN9" i="3"/>
  <c r="AQ9" i="3"/>
  <c r="H7" i="45"/>
  <c r="AO9" i="3"/>
  <c r="AK9" i="3" a="1"/>
  <c r="AK9" i="3" s="1"/>
  <c r="AM9" i="3"/>
  <c r="I7" i="45" s="1"/>
  <c r="AT9" i="3"/>
  <c r="J7" i="45" s="1"/>
  <c r="AR9" i="3"/>
  <c r="K7" i="45" s="1"/>
  <c r="F342" i="40"/>
  <c r="G401" i="40"/>
  <c r="G222" i="40"/>
  <c r="G214" i="40"/>
  <c r="F336" i="40"/>
  <c r="G478" i="40"/>
  <c r="F168" i="40"/>
  <c r="G394" i="40"/>
  <c r="G221" i="40"/>
  <c r="G402" i="40"/>
  <c r="G378" i="40"/>
  <c r="G355" i="40"/>
  <c r="G265" i="40"/>
  <c r="G357" i="40"/>
  <c r="G202" i="40"/>
  <c r="G225" i="40"/>
  <c r="G176" i="40"/>
  <c r="G313" i="40"/>
  <c r="G330" i="40"/>
  <c r="F288" i="40"/>
  <c r="G328" i="40"/>
  <c r="G362" i="40"/>
  <c r="G413" i="40"/>
  <c r="G490" i="40"/>
  <c r="G276" i="40"/>
  <c r="G424" i="40"/>
  <c r="G308" i="40"/>
  <c r="G484" i="40"/>
  <c r="G458" i="40"/>
  <c r="G327" i="40"/>
  <c r="G410" i="40"/>
  <c r="G272" i="40"/>
  <c r="G191" i="40"/>
  <c r="G264" i="40"/>
  <c r="G421" i="40"/>
  <c r="G416" i="40"/>
  <c r="G487" i="40"/>
  <c r="F299" i="40"/>
  <c r="G431" i="40"/>
  <c r="G280" i="40"/>
  <c r="G442" i="40"/>
  <c r="G381" i="40"/>
  <c r="G475" i="40"/>
  <c r="G368" i="40"/>
  <c r="G375" i="40"/>
  <c r="G199" i="40"/>
  <c r="G309" i="40"/>
  <c r="G415" i="40"/>
  <c r="G185" i="40"/>
  <c r="G318" i="40"/>
  <c r="G258" i="40"/>
  <c r="G220" i="40"/>
  <c r="G247" i="40"/>
  <c r="G360" i="40"/>
  <c r="G315" i="40"/>
  <c r="G399" i="40"/>
  <c r="G209" i="40"/>
  <c r="G411" i="40"/>
  <c r="G289" i="40"/>
  <c r="G419" i="40"/>
  <c r="G372" i="40"/>
  <c r="G461" i="40"/>
  <c r="G231" i="40"/>
  <c r="G470" i="40"/>
  <c r="G341" i="40"/>
  <c r="F294" i="40"/>
  <c r="G286" i="40"/>
  <c r="G448" i="40"/>
  <c r="G332" i="40"/>
  <c r="G479" i="40"/>
  <c r="G174" i="40"/>
  <c r="G279" i="40"/>
  <c r="G208" i="40"/>
  <c r="F392" i="40"/>
  <c r="G248" i="40"/>
  <c r="G282" i="40"/>
  <c r="G182" i="40"/>
  <c r="G252" i="40"/>
  <c r="G391" i="40"/>
  <c r="G290" i="40"/>
  <c r="G230" i="40"/>
  <c r="G456" i="40"/>
  <c r="G167" i="40"/>
  <c r="G383" i="40"/>
  <c r="G443" i="40"/>
  <c r="G496" i="40"/>
  <c r="G307" i="40"/>
  <c r="G441" i="40"/>
  <c r="G283" i="40"/>
  <c r="G482" i="40"/>
  <c r="G464" i="40"/>
  <c r="G184" i="40"/>
  <c r="G179" i="40"/>
  <c r="G186" i="40"/>
  <c r="G480" i="40"/>
  <c r="G462" i="40"/>
  <c r="G390" i="40"/>
  <c r="G232" i="40"/>
  <c r="G432" i="40"/>
  <c r="G363" i="40"/>
  <c r="F287" i="40"/>
  <c r="F291" i="40"/>
  <c r="G206" i="40"/>
  <c r="G344" i="40"/>
  <c r="G429" i="40"/>
  <c r="G201" i="40"/>
  <c r="G423" i="40"/>
  <c r="G452" i="40"/>
  <c r="G262" i="40"/>
  <c r="G467" i="40"/>
  <c r="G256" i="40"/>
  <c r="G314" i="40"/>
  <c r="G465" i="40"/>
  <c r="G426" i="40"/>
  <c r="G228" i="40"/>
  <c r="G346" i="40"/>
  <c r="G205" i="40"/>
  <c r="G275" i="40"/>
  <c r="G393" i="40"/>
  <c r="G338" i="40"/>
  <c r="G198" i="40"/>
  <c r="G359" i="40"/>
  <c r="G408" i="40"/>
  <c r="G293" i="40"/>
  <c r="G310" i="40"/>
  <c r="G365" i="40"/>
  <c r="G447" i="40"/>
  <c r="G473" i="40"/>
  <c r="G451" i="40"/>
  <c r="G268" i="40"/>
  <c r="G218" i="40"/>
  <c r="G281" i="40"/>
  <c r="G274" i="40"/>
  <c r="G364" i="40"/>
  <c r="G388" i="40"/>
  <c r="G204" i="40"/>
  <c r="G376" i="40"/>
  <c r="G382" i="40"/>
  <c r="G188" i="40"/>
  <c r="G219" i="40"/>
  <c r="G468" i="40"/>
  <c r="G253" i="40"/>
  <c r="G409" i="40"/>
  <c r="G373" i="40"/>
  <c r="G472" i="40"/>
  <c r="G259" i="40"/>
  <c r="G420" i="40"/>
  <c r="G414" i="40"/>
  <c r="G352" i="40"/>
  <c r="G267" i="40"/>
  <c r="G476" i="40"/>
  <c r="G211" i="40"/>
  <c r="G210" i="40"/>
  <c r="G195" i="40"/>
  <c r="G266" i="40"/>
  <c r="G235" i="40"/>
  <c r="G301" i="40"/>
  <c r="G371" i="40"/>
  <c r="G343" i="40"/>
  <c r="G454" i="40"/>
  <c r="G217" i="40"/>
  <c r="G418" i="40"/>
  <c r="G340" i="40"/>
  <c r="G463" i="40"/>
  <c r="G196" i="40"/>
  <c r="G177" i="40"/>
  <c r="G485" i="40"/>
  <c r="G361" i="40"/>
  <c r="G302" i="40"/>
  <c r="G242" i="40"/>
  <c r="G403" i="40"/>
  <c r="G358" i="40"/>
  <c r="G238" i="40"/>
  <c r="G180" i="40"/>
  <c r="G334" i="40"/>
  <c r="G396" i="40"/>
  <c r="G224" i="40"/>
  <c r="F297" i="40"/>
  <c r="G319" i="40"/>
  <c r="G428" i="40"/>
  <c r="G324" i="40"/>
  <c r="G326" i="40"/>
  <c r="G397" i="40"/>
  <c r="G489" i="40"/>
  <c r="G486" i="40"/>
  <c r="G377" i="40"/>
  <c r="G233" i="40"/>
  <c r="G450" i="40"/>
  <c r="G193" i="40"/>
  <c r="G251" i="40"/>
  <c r="G439" i="40"/>
  <c r="G466" i="40"/>
  <c r="G207" i="40"/>
  <c r="G325" i="40"/>
  <c r="G323" i="40"/>
  <c r="G333" i="40"/>
  <c r="G215" i="40"/>
  <c r="G254" i="40"/>
  <c r="G329" i="40"/>
  <c r="G169" i="40"/>
  <c r="G492" i="40"/>
  <c r="G350" i="40"/>
  <c r="G226" i="40"/>
  <c r="G494" i="40"/>
  <c r="G260" i="40"/>
  <c r="G285" i="40"/>
  <c r="G284" i="40"/>
  <c r="G459" i="40"/>
  <c r="G425" i="40"/>
  <c r="G471" i="40"/>
  <c r="G331" i="40"/>
  <c r="G337" i="40"/>
  <c r="G187" i="40"/>
  <c r="G339" i="40"/>
  <c r="G227" i="40"/>
  <c r="G240" i="40"/>
  <c r="G171" i="40"/>
  <c r="G183" i="40"/>
  <c r="G407" i="40"/>
  <c r="G367" i="40"/>
  <c r="G469" i="40"/>
  <c r="G356" i="40"/>
  <c r="G178" i="40"/>
  <c r="G269" i="40"/>
  <c r="G395" i="40"/>
  <c r="G449" i="40"/>
  <c r="G422" i="40"/>
  <c r="G197" i="40"/>
  <c r="F295" i="40"/>
  <c r="G335" i="40"/>
  <c r="G488" i="40"/>
  <c r="G170" i="40"/>
  <c r="G243" i="40"/>
  <c r="G493" i="40"/>
  <c r="G455" i="40"/>
  <c r="G320" i="40"/>
  <c r="F296" i="40"/>
  <c r="G175" i="40"/>
  <c r="G190" i="40"/>
  <c r="G440" i="40"/>
  <c r="G311" i="40"/>
  <c r="G387" i="40"/>
  <c r="G491" i="40"/>
  <c r="F300" i="40"/>
  <c r="G366" i="40"/>
  <c r="G433" i="40"/>
  <c r="G192" i="40"/>
  <c r="G345" i="40"/>
  <c r="G495" i="40"/>
  <c r="G316" i="40"/>
  <c r="G270" i="40"/>
  <c r="G483" i="40"/>
  <c r="G200" i="40"/>
  <c r="G406" i="40"/>
  <c r="G370" i="40"/>
  <c r="G400" i="40"/>
  <c r="G481" i="40"/>
  <c r="G436" i="40"/>
  <c r="G277" i="40"/>
  <c r="G271" i="40"/>
  <c r="G173" i="40"/>
  <c r="G353" i="40"/>
  <c r="G189" i="40"/>
  <c r="G250" i="40"/>
  <c r="G236" i="40"/>
  <c r="G303" i="40"/>
  <c r="G405" i="40"/>
  <c r="G317" i="40"/>
  <c r="G241" i="40"/>
  <c r="G385" i="40"/>
  <c r="G437" i="40"/>
  <c r="G246" i="40"/>
  <c r="G389" i="40"/>
  <c r="G347" i="40"/>
  <c r="F298" i="40"/>
  <c r="G213" i="40"/>
  <c r="G412" i="40"/>
  <c r="G244" i="40"/>
  <c r="G249" i="40"/>
  <c r="G234" i="40"/>
  <c r="G212" i="40"/>
  <c r="G380" i="40"/>
  <c r="G427" i="40"/>
  <c r="F398" i="40"/>
  <c r="G457" i="40"/>
  <c r="G445" i="40"/>
  <c r="G446" i="40"/>
  <c r="G223" i="40"/>
  <c r="G374" i="40"/>
  <c r="G229" i="40"/>
  <c r="G312" i="40"/>
  <c r="G237" i="40"/>
  <c r="G379" i="40"/>
  <c r="G305" i="40"/>
  <c r="G278" i="40"/>
  <c r="G263" i="40"/>
  <c r="G386" i="40"/>
  <c r="G460" i="40"/>
  <c r="G474" i="40"/>
  <c r="G384" i="40"/>
  <c r="G417" i="40"/>
  <c r="G351" i="40"/>
  <c r="G354" i="40"/>
  <c r="G349" i="40"/>
  <c r="G172" i="40"/>
  <c r="G216" i="40"/>
  <c r="G255" i="40"/>
  <c r="G194" i="40"/>
  <c r="G348" i="40"/>
  <c r="G444" i="40"/>
  <c r="G292" i="40"/>
  <c r="G434" i="40"/>
  <c r="G322" i="40"/>
  <c r="G435" i="40"/>
  <c r="G257" i="40"/>
  <c r="G245" i="40"/>
  <c r="G477" i="40"/>
  <c r="G404" i="40"/>
  <c r="G239" i="40"/>
  <c r="G438" i="40"/>
  <c r="F306" i="40"/>
  <c r="G453" i="40"/>
  <c r="G203" i="40"/>
  <c r="G304" i="40"/>
  <c r="G181" i="40"/>
  <c r="G430" i="40"/>
  <c r="G369" i="40"/>
  <c r="G321" i="40"/>
  <c r="G261" i="40"/>
  <c r="G273" i="40"/>
  <c r="BI58" i="3"/>
  <c r="BF58" i="3" s="1"/>
  <c r="BK58" i="3" s="1"/>
  <c r="BL58" i="3" s="1"/>
  <c r="M113" i="3"/>
  <c r="AA113" i="3" s="1"/>
  <c r="AO14" i="3"/>
  <c r="AM14" i="3"/>
  <c r="I12" i="45" s="1"/>
  <c r="AK14" i="3" a="1"/>
  <c r="AK14" i="3" s="1"/>
  <c r="AQ14" i="3"/>
  <c r="AP14" i="3"/>
  <c r="AS14" i="3"/>
  <c r="AN14" i="3"/>
  <c r="AR14" i="3"/>
  <c r="K12" i="45" s="1"/>
  <c r="H12" i="45"/>
  <c r="AT14" i="3"/>
  <c r="J12" i="45" s="1"/>
  <c r="AN6" i="3"/>
  <c r="AM6" i="3"/>
  <c r="I4" i="45" s="1"/>
  <c r="AO6" i="3"/>
  <c r="M107" i="3"/>
  <c r="AA107" i="3" s="1"/>
  <c r="AT6" i="3"/>
  <c r="J4" i="45" s="1"/>
  <c r="AS6" i="3"/>
  <c r="AP6" i="3"/>
  <c r="AQ6" i="3"/>
  <c r="AR6" i="3"/>
  <c r="K4" i="45" s="1"/>
  <c r="H4" i="45"/>
  <c r="AK6" i="3" a="1"/>
  <c r="AK6" i="3" s="1"/>
  <c r="AK17" i="3" a="1"/>
  <c r="AK17" i="3" s="1"/>
  <c r="AO17" i="3"/>
  <c r="AN17" i="3"/>
  <c r="AP17" i="3"/>
  <c r="AM17" i="3"/>
  <c r="I15" i="45" s="1"/>
  <c r="AS17" i="3"/>
  <c r="H15" i="45"/>
  <c r="AR17" i="3"/>
  <c r="K15" i="45" s="1"/>
  <c r="AQ17" i="3"/>
  <c r="AT17" i="3"/>
  <c r="J15" i="45" s="1"/>
  <c r="AM23" i="3"/>
  <c r="I21" i="45" s="1"/>
  <c r="AR23" i="3"/>
  <c r="AN23" i="3"/>
  <c r="AQ23" i="3"/>
  <c r="AS23" i="3"/>
  <c r="AP23" i="3"/>
  <c r="AK23" i="3" a="1"/>
  <c r="AK23" i="3" s="1"/>
  <c r="N103" i="3"/>
  <c r="AF104" i="3" s="1"/>
  <c r="AO23" i="3"/>
  <c r="H21" i="45"/>
  <c r="AT23" i="3"/>
  <c r="J21" i="45" s="1"/>
  <c r="BL60" i="3"/>
  <c r="H82" i="40"/>
  <c r="H334" i="40"/>
  <c r="H24" i="40"/>
  <c r="H56" i="40"/>
  <c r="F313" i="40"/>
  <c r="H199" i="40"/>
  <c r="H124" i="40"/>
  <c r="H242" i="40"/>
  <c r="H191" i="40"/>
  <c r="H40" i="40"/>
  <c r="H123" i="40"/>
  <c r="F311" i="40"/>
  <c r="H156" i="40"/>
  <c r="H197" i="40"/>
  <c r="H278" i="40"/>
  <c r="H453" i="40"/>
  <c r="H158" i="40"/>
  <c r="H99" i="40"/>
  <c r="F51" i="40"/>
  <c r="F54" i="40"/>
  <c r="H219" i="40"/>
  <c r="H370" i="40"/>
  <c r="H122" i="40"/>
  <c r="H366" i="40"/>
  <c r="H21" i="40"/>
  <c r="H41" i="40"/>
  <c r="H367" i="40"/>
  <c r="H410" i="40"/>
  <c r="H447" i="40"/>
  <c r="H147" i="40"/>
  <c r="H216" i="40"/>
  <c r="H106" i="40"/>
  <c r="D450" i="40"/>
  <c r="F2" i="40"/>
  <c r="H149" i="40"/>
  <c r="H386" i="40"/>
  <c r="H282" i="40"/>
  <c r="H423" i="40"/>
  <c r="H268" i="40"/>
  <c r="H154" i="40"/>
  <c r="H288" i="40"/>
  <c r="F289" i="40"/>
  <c r="H306" i="40"/>
  <c r="H204" i="40"/>
  <c r="H188" i="40"/>
  <c r="H490" i="40"/>
  <c r="H166" i="40"/>
  <c r="H178" i="40"/>
  <c r="H227" i="40"/>
  <c r="H202" i="40"/>
  <c r="H352" i="40"/>
  <c r="H226" i="40"/>
  <c r="H37" i="40"/>
  <c r="H360" i="40"/>
  <c r="H267" i="40"/>
  <c r="H381" i="40"/>
  <c r="H332" i="40"/>
  <c r="H14" i="40"/>
  <c r="H363" i="40"/>
  <c r="H415" i="40"/>
  <c r="H162" i="40"/>
  <c r="F385" i="40"/>
  <c r="H411" i="40"/>
  <c r="E241" i="40"/>
  <c r="H104" i="40"/>
  <c r="H20" i="40"/>
  <c r="H121" i="40"/>
  <c r="H77" i="40"/>
  <c r="H22" i="40"/>
  <c r="H198" i="40"/>
  <c r="H201" i="40"/>
  <c r="H36" i="40"/>
  <c r="H493" i="40"/>
  <c r="H42" i="40"/>
  <c r="H5" i="40"/>
  <c r="H489" i="40"/>
  <c r="F308" i="40"/>
  <c r="F49" i="40"/>
  <c r="H86" i="40"/>
  <c r="H461" i="40"/>
  <c r="F52" i="40"/>
  <c r="C328" i="40"/>
  <c r="H200" i="40"/>
  <c r="H220" i="40"/>
  <c r="H458" i="40"/>
  <c r="H291" i="40"/>
  <c r="H81" i="40"/>
  <c r="H380" i="40"/>
  <c r="H108" i="40"/>
  <c r="F382" i="40"/>
  <c r="F292" i="40"/>
  <c r="H43" i="40"/>
  <c r="H44" i="40"/>
  <c r="H496" i="40"/>
  <c r="H492" i="40"/>
  <c r="H482" i="40"/>
  <c r="H96" i="40"/>
  <c r="H35" i="40"/>
  <c r="D239" i="40"/>
  <c r="E240" i="40"/>
  <c r="H190" i="40"/>
  <c r="H208" i="40"/>
  <c r="H9" i="40"/>
  <c r="H391" i="40"/>
  <c r="F303" i="40"/>
  <c r="H416" i="40"/>
  <c r="H110" i="40"/>
  <c r="H179" i="40"/>
  <c r="H244" i="40"/>
  <c r="H207" i="40"/>
  <c r="D488" i="40"/>
  <c r="H424" i="40"/>
  <c r="H100" i="40"/>
  <c r="H269" i="40"/>
  <c r="H243" i="40"/>
  <c r="H109" i="40"/>
  <c r="H189" i="40"/>
  <c r="E283" i="40"/>
  <c r="F50" i="40"/>
  <c r="H148" i="40"/>
  <c r="H225" i="40"/>
  <c r="H417" i="40"/>
  <c r="H38" i="40"/>
  <c r="H359" i="40"/>
  <c r="E271" i="40"/>
  <c r="H460" i="40"/>
  <c r="F302" i="40"/>
  <c r="H409" i="40"/>
  <c r="H454" i="40"/>
  <c r="H248" i="40"/>
  <c r="H218" i="40"/>
  <c r="F173" i="40"/>
  <c r="H74" i="40"/>
  <c r="H407" i="40"/>
  <c r="E249" i="40"/>
  <c r="H245" i="40"/>
  <c r="H119" i="40"/>
  <c r="H444" i="40"/>
  <c r="H32" i="40"/>
  <c r="H333" i="40"/>
  <c r="H130" i="40"/>
  <c r="F171" i="40"/>
  <c r="H420" i="40"/>
  <c r="H78" i="40"/>
  <c r="H87" i="40"/>
  <c r="H153" i="40"/>
  <c r="H7" i="40"/>
  <c r="H357" i="40"/>
  <c r="H351" i="40"/>
  <c r="H276" i="40"/>
  <c r="H98" i="40"/>
  <c r="H164" i="40"/>
  <c r="H228" i="40"/>
  <c r="H230" i="40"/>
  <c r="H358" i="40"/>
  <c r="H15" i="40"/>
  <c r="F314" i="40"/>
  <c r="F174" i="40"/>
  <c r="H131" i="40"/>
  <c r="H18" i="40"/>
  <c r="H456" i="40"/>
  <c r="H286" i="40"/>
  <c r="H6" i="40"/>
  <c r="H57" i="40"/>
  <c r="H365" i="40"/>
  <c r="H161" i="40"/>
  <c r="E272" i="40"/>
  <c r="H414" i="40"/>
  <c r="H452" i="40"/>
  <c r="D449" i="40"/>
  <c r="H206" i="40"/>
  <c r="E274" i="40"/>
  <c r="H127" i="40"/>
  <c r="H194" i="40"/>
  <c r="H80" i="40"/>
  <c r="H322" i="40"/>
  <c r="H46" i="40"/>
  <c r="F304" i="40"/>
  <c r="F172" i="40"/>
  <c r="H73" i="40"/>
  <c r="H165" i="40"/>
  <c r="E250" i="40"/>
  <c r="H327" i="40"/>
  <c r="H180" i="40"/>
  <c r="E275" i="40"/>
  <c r="H195" i="40"/>
  <c r="H193" i="40"/>
  <c r="H70" i="40"/>
  <c r="H284" i="40"/>
  <c r="H281" i="40"/>
  <c r="H356" i="40"/>
  <c r="H455" i="40"/>
  <c r="H120" i="40"/>
  <c r="H408" i="40"/>
  <c r="H448" i="40"/>
  <c r="H442" i="40"/>
  <c r="H300" i="40"/>
  <c r="H209" i="40"/>
  <c r="H151" i="40"/>
  <c r="H39" i="40"/>
  <c r="H413" i="40"/>
  <c r="H117" i="40"/>
  <c r="H483" i="40"/>
  <c r="H418" i="40"/>
  <c r="H85" i="40"/>
  <c r="H247" i="40"/>
  <c r="H103" i="40"/>
  <c r="H495" i="40"/>
  <c r="H33" i="40"/>
  <c r="H150" i="40"/>
  <c r="H355" i="40"/>
  <c r="F384" i="40"/>
  <c r="H34" i="40"/>
  <c r="H364" i="40"/>
  <c r="H17" i="40"/>
  <c r="F170" i="40"/>
  <c r="F293" i="40"/>
  <c r="H273" i="40"/>
  <c r="C329" i="40"/>
  <c r="H353" i="40"/>
  <c r="H45" i="40"/>
  <c r="H129" i="40"/>
  <c r="H152" i="40"/>
  <c r="H330" i="40"/>
  <c r="H25" i="40"/>
  <c r="F307" i="40"/>
  <c r="H163" i="40"/>
  <c r="H101" i="40"/>
  <c r="H102" i="40"/>
  <c r="H223" i="40"/>
  <c r="F53" i="40"/>
  <c r="H125" i="40"/>
  <c r="F47" i="40"/>
  <c r="H491" i="40"/>
  <c r="H368" i="40"/>
  <c r="H369" i="40"/>
  <c r="H176" i="40"/>
  <c r="H60" i="40"/>
  <c r="H321" i="40"/>
  <c r="H221" i="40"/>
  <c r="H277" i="40"/>
  <c r="D446" i="40"/>
  <c r="H324" i="40"/>
  <c r="H419" i="40"/>
  <c r="H270" i="40"/>
  <c r="H325" i="40"/>
  <c r="H181" i="40"/>
  <c r="H387" i="40"/>
  <c r="H457" i="40"/>
  <c r="H58" i="40"/>
  <c r="H389" i="40"/>
  <c r="H11" i="40"/>
  <c r="H217" i="40"/>
  <c r="H390" i="40"/>
  <c r="H487" i="40"/>
  <c r="H229" i="40"/>
  <c r="H412" i="40"/>
  <c r="H23" i="40"/>
  <c r="C326" i="40"/>
  <c r="H335" i="40"/>
  <c r="H105" i="40"/>
  <c r="F309" i="40"/>
  <c r="H159" i="40"/>
  <c r="F310" i="40"/>
  <c r="F305" i="40"/>
  <c r="H323" i="40"/>
  <c r="H8" i="40"/>
  <c r="H126" i="40"/>
  <c r="H97" i="40"/>
  <c r="E238" i="40"/>
  <c r="H118" i="40"/>
  <c r="F290" i="40"/>
  <c r="F301" i="40"/>
  <c r="H192" i="40"/>
  <c r="H377" i="40"/>
  <c r="H13" i="40"/>
  <c r="H160" i="40"/>
  <c r="H421" i="40"/>
  <c r="H484" i="40"/>
  <c r="F167" i="40"/>
  <c r="H76" i="40"/>
  <c r="H494" i="40"/>
  <c r="H224" i="40"/>
  <c r="H75" i="40"/>
  <c r="E246" i="40"/>
  <c r="H425" i="40"/>
  <c r="H388" i="40"/>
  <c r="H251" i="40"/>
  <c r="H285" i="40"/>
  <c r="H422" i="40"/>
  <c r="H426" i="40"/>
  <c r="H88" i="40"/>
  <c r="H445" i="40"/>
  <c r="H486" i="40"/>
  <c r="H128" i="40"/>
  <c r="H222" i="40"/>
  <c r="H72" i="40"/>
  <c r="H196" i="40"/>
  <c r="H362" i="40"/>
  <c r="H177" i="40"/>
  <c r="F312" i="40"/>
  <c r="H16" i="40"/>
  <c r="H89" i="40"/>
  <c r="H354" i="40"/>
  <c r="H69" i="40"/>
  <c r="H331" i="40"/>
  <c r="AS38" i="3"/>
  <c r="AP38" i="3"/>
  <c r="AK38" i="3" a="1"/>
  <c r="AK38" i="3" s="1"/>
  <c r="M102" i="3"/>
  <c r="AA103" i="3" s="1"/>
  <c r="D103" i="3" s="1"/>
  <c r="AO38" i="3"/>
  <c r="AQ38" i="3"/>
  <c r="AN38" i="3"/>
  <c r="AR38" i="3"/>
  <c r="AM38" i="3"/>
  <c r="I36" i="45" s="1"/>
  <c r="AT38" i="3"/>
  <c r="J36" i="45" s="1"/>
  <c r="H36" i="45"/>
  <c r="AR49" i="3"/>
  <c r="AT49" i="3"/>
  <c r="J47" i="45" s="1"/>
  <c r="AP49" i="3"/>
  <c r="H47" i="45"/>
  <c r="AO49" i="3"/>
  <c r="AK49" i="3" a="1"/>
  <c r="AK49" i="3" s="1"/>
  <c r="AQ49" i="3"/>
  <c r="AN49" i="3"/>
  <c r="AS49" i="3"/>
  <c r="AM49" i="3"/>
  <c r="I47" i="45" s="1"/>
  <c r="C75" i="40"/>
  <c r="E256" i="40"/>
  <c r="C98" i="40"/>
  <c r="I230" i="40"/>
  <c r="E36" i="40"/>
  <c r="C295" i="40"/>
  <c r="C194" i="40"/>
  <c r="C12" i="40"/>
  <c r="C69" i="40"/>
  <c r="J226" i="40"/>
  <c r="C309" i="40"/>
  <c r="C27" i="40"/>
  <c r="I424" i="40"/>
  <c r="C294" i="40"/>
  <c r="C95" i="40"/>
  <c r="I487" i="40"/>
  <c r="C67" i="40"/>
  <c r="C421" i="40"/>
  <c r="C312" i="40"/>
  <c r="C102" i="40"/>
  <c r="C169" i="40"/>
  <c r="C395" i="40"/>
  <c r="C48" i="40"/>
  <c r="I314" i="40"/>
  <c r="C68" i="40"/>
  <c r="J496" i="40"/>
  <c r="C64" i="40"/>
  <c r="J198" i="40"/>
  <c r="C51" i="40"/>
  <c r="J492" i="40"/>
  <c r="I279" i="40"/>
  <c r="C420" i="40"/>
  <c r="I413" i="40"/>
  <c r="I146" i="40"/>
  <c r="E191" i="40"/>
  <c r="E220" i="40"/>
  <c r="C345" i="40"/>
  <c r="E265" i="40"/>
  <c r="C417" i="40"/>
  <c r="I426" i="40"/>
  <c r="C397" i="40"/>
  <c r="J490" i="40"/>
  <c r="C398" i="40"/>
  <c r="C259" i="40"/>
  <c r="C136" i="40"/>
  <c r="C260" i="40"/>
  <c r="C10" i="40"/>
  <c r="C168" i="40"/>
  <c r="C144" i="40"/>
  <c r="J152" i="40"/>
  <c r="I468" i="40"/>
  <c r="C96" i="40"/>
  <c r="E217" i="40"/>
  <c r="C145" i="40"/>
  <c r="C302" i="40"/>
  <c r="E39" i="40"/>
  <c r="D414" i="40"/>
  <c r="C343" i="40"/>
  <c r="E267" i="40"/>
  <c r="I479" i="40"/>
  <c r="C195" i="40"/>
  <c r="I425" i="40"/>
  <c r="C172" i="40"/>
  <c r="D148" i="40"/>
  <c r="C401" i="40"/>
  <c r="C304" i="40"/>
  <c r="C465" i="40"/>
  <c r="C404" i="40"/>
  <c r="C305" i="40"/>
  <c r="E273" i="40"/>
  <c r="C366" i="40"/>
  <c r="I484" i="40"/>
  <c r="C463" i="40"/>
  <c r="C141" i="40"/>
  <c r="C100" i="40"/>
  <c r="E33" i="40"/>
  <c r="J483" i="40"/>
  <c r="I350" i="40"/>
  <c r="C472" i="40"/>
  <c r="C348" i="40"/>
  <c r="I495" i="40"/>
  <c r="J142" i="40"/>
  <c r="C104" i="40"/>
  <c r="G147" i="40"/>
  <c r="D415" i="40"/>
  <c r="C9" i="40"/>
  <c r="C31" i="40"/>
  <c r="J467" i="40"/>
  <c r="D358" i="40"/>
  <c r="I493" i="40"/>
  <c r="C30" i="40"/>
  <c r="J285" i="40"/>
  <c r="E200" i="40"/>
  <c r="C361" i="40"/>
  <c r="C50" i="40"/>
  <c r="D359" i="40"/>
  <c r="E35" i="40"/>
  <c r="C336" i="40"/>
  <c r="C394" i="40"/>
  <c r="I166" i="40"/>
  <c r="C342" i="40"/>
  <c r="E38" i="40"/>
  <c r="C76" i="40"/>
  <c r="C223" i="40"/>
  <c r="C101" i="40"/>
  <c r="I46" i="40"/>
  <c r="I79" i="40"/>
  <c r="C337" i="40"/>
  <c r="J346" i="40"/>
  <c r="C133" i="40"/>
  <c r="G150" i="40"/>
  <c r="G161" i="40"/>
  <c r="D34" i="40"/>
  <c r="C352" i="40"/>
  <c r="I227" i="40"/>
  <c r="C73" i="40"/>
  <c r="E229" i="40"/>
  <c r="C182" i="40"/>
  <c r="I164" i="40"/>
  <c r="D411" i="40"/>
  <c r="C393" i="40"/>
  <c r="I199" i="40"/>
  <c r="C77" i="40"/>
  <c r="I202" i="40"/>
  <c r="J310" i="40"/>
  <c r="C28" i="40"/>
  <c r="C171" i="40"/>
  <c r="I368" i="40"/>
  <c r="E41" i="40"/>
  <c r="C212" i="40"/>
  <c r="D469" i="40"/>
  <c r="C137" i="40"/>
  <c r="E44" i="40"/>
  <c r="C16" i="40"/>
  <c r="E269" i="40"/>
  <c r="C14" i="40"/>
  <c r="E286" i="40"/>
  <c r="C399" i="40"/>
  <c r="I162" i="40"/>
  <c r="C258" i="40"/>
  <c r="C109" i="40"/>
  <c r="D355" i="40"/>
  <c r="C94" i="40"/>
  <c r="C340" i="40"/>
  <c r="E37" i="40"/>
  <c r="C210" i="40"/>
  <c r="J42" i="40"/>
  <c r="C63" i="40"/>
  <c r="C8" i="40"/>
  <c r="C303" i="40"/>
  <c r="I311" i="40"/>
  <c r="C71" i="40"/>
  <c r="I481" i="40"/>
  <c r="D268" i="40"/>
  <c r="C257" i="40"/>
  <c r="E277" i="40"/>
  <c r="C90" i="40"/>
  <c r="C215" i="40"/>
  <c r="C70" i="40"/>
  <c r="C91" i="40"/>
  <c r="C354" i="40"/>
  <c r="C7" i="40"/>
  <c r="C475" i="40"/>
  <c r="J367" i="40"/>
  <c r="E264" i="40"/>
  <c r="J423" i="40"/>
  <c r="C476" i="40"/>
  <c r="C339" i="40"/>
  <c r="C17" i="40"/>
  <c r="C184" i="40"/>
  <c r="C407" i="40"/>
  <c r="C224" i="40"/>
  <c r="C365" i="40"/>
  <c r="I282" i="40"/>
  <c r="C93" i="40"/>
  <c r="G157" i="40"/>
  <c r="D275" i="40"/>
  <c r="D218" i="40"/>
  <c r="E284" i="40"/>
  <c r="E45" i="40"/>
  <c r="C174" i="40"/>
  <c r="C422" i="40"/>
  <c r="C53" i="40"/>
  <c r="J262" i="40"/>
  <c r="E40" i="40"/>
  <c r="C66" i="40"/>
  <c r="D470" i="40"/>
  <c r="C170" i="40"/>
  <c r="E201" i="40"/>
  <c r="C301" i="40"/>
  <c r="C6" i="40"/>
  <c r="J283" i="40"/>
  <c r="C103" i="40"/>
  <c r="C474" i="40"/>
  <c r="C353" i="40"/>
  <c r="C396" i="40"/>
  <c r="C313" i="40"/>
  <c r="I369" i="40"/>
  <c r="D466" i="40"/>
  <c r="C299" i="40"/>
  <c r="C410" i="40"/>
  <c r="I471" i="40"/>
  <c r="C18" i="40"/>
  <c r="C74" i="40"/>
  <c r="I357" i="40"/>
  <c r="I403" i="40"/>
  <c r="C99" i="40"/>
  <c r="C462" i="40"/>
  <c r="C214" i="40"/>
  <c r="I406" i="40"/>
  <c r="C405" i="40"/>
  <c r="C72" i="40"/>
  <c r="C392" i="40"/>
  <c r="D485" i="40"/>
  <c r="C222" i="40"/>
  <c r="C307" i="40"/>
  <c r="C108" i="40"/>
  <c r="E261" i="40"/>
  <c r="C409" i="40"/>
  <c r="C2" i="40"/>
  <c r="C105" i="40"/>
  <c r="C97" i="40"/>
  <c r="E276" i="40"/>
  <c r="I480" i="40"/>
  <c r="J106" i="40"/>
  <c r="E225" i="40"/>
  <c r="E189" i="40"/>
  <c r="J272" i="40"/>
  <c r="C473" i="40"/>
  <c r="C92" i="40"/>
  <c r="C52" i="40"/>
  <c r="J165" i="40"/>
  <c r="C186" i="40"/>
  <c r="I360" i="40"/>
  <c r="C349" i="40"/>
  <c r="C49" i="40"/>
  <c r="C183" i="40"/>
  <c r="C185" i="40"/>
  <c r="C252" i="40"/>
  <c r="C62" i="40"/>
  <c r="C211" i="40"/>
  <c r="C135" i="40"/>
  <c r="D489" i="40"/>
  <c r="C341" i="40"/>
  <c r="D190" i="40"/>
  <c r="C187" i="40"/>
  <c r="I370" i="40"/>
  <c r="C296" i="40"/>
  <c r="C298" i="40"/>
  <c r="C193" i="40"/>
  <c r="C408" i="40"/>
  <c r="E280" i="40"/>
  <c r="E253" i="40"/>
  <c r="J78" i="40"/>
  <c r="E197" i="40"/>
  <c r="J412" i="40"/>
  <c r="D154" i="40"/>
  <c r="E32" i="40"/>
  <c r="D151" i="40"/>
  <c r="J356" i="40"/>
  <c r="C13" i="40"/>
  <c r="C173" i="40"/>
  <c r="C364" i="40"/>
  <c r="C26" i="40"/>
  <c r="C344" i="40"/>
  <c r="C29" i="40"/>
  <c r="D271" i="40"/>
  <c r="C306" i="40"/>
  <c r="J158" i="40"/>
  <c r="C65" i="40"/>
  <c r="I347" i="40"/>
  <c r="D254" i="40"/>
  <c r="E219" i="40"/>
  <c r="C464" i="40"/>
  <c r="C188" i="40"/>
  <c r="C54" i="40"/>
  <c r="C213" i="40"/>
  <c r="I416" i="40"/>
  <c r="C419" i="40"/>
  <c r="I266" i="40"/>
  <c r="C4" i="40"/>
  <c r="I494" i="40"/>
  <c r="C297" i="40"/>
  <c r="C362" i="40"/>
  <c r="C81" i="40"/>
  <c r="C400" i="40"/>
  <c r="D155" i="40"/>
  <c r="G149" i="40"/>
  <c r="D486" i="40"/>
  <c r="C300" i="40"/>
  <c r="E281" i="40"/>
  <c r="C477" i="40"/>
  <c r="C80" i="40"/>
  <c r="C140" i="40"/>
  <c r="J278" i="40"/>
  <c r="I43" i="40"/>
  <c r="C351" i="40"/>
  <c r="G160" i="40"/>
  <c r="I110" i="40"/>
  <c r="J402" i="40"/>
  <c r="D274" i="40"/>
  <c r="C216" i="40"/>
  <c r="I153" i="40"/>
  <c r="C363" i="40"/>
  <c r="C15" i="40"/>
  <c r="D491" i="40"/>
  <c r="C418" i="40"/>
  <c r="E228" i="40"/>
  <c r="J163" i="40"/>
  <c r="D482" i="40"/>
  <c r="C308" i="40"/>
  <c r="C5" i="40"/>
  <c r="C132" i="40"/>
  <c r="C134" i="40"/>
  <c r="E255" i="40"/>
  <c r="I82" i="40"/>
  <c r="C221" i="40"/>
  <c r="J478" i="40"/>
  <c r="C338" i="40"/>
  <c r="C139" i="40"/>
  <c r="I263" i="40"/>
  <c r="C138" i="40"/>
  <c r="I107" i="40"/>
  <c r="J488" i="40"/>
  <c r="C196" i="40"/>
  <c r="E270" i="40"/>
  <c r="I156" i="40"/>
  <c r="I159" i="40"/>
  <c r="E192" i="40"/>
  <c r="I143" i="40"/>
  <c r="M103" i="3"/>
  <c r="AA104" i="3" s="1"/>
  <c r="H44" i="45"/>
  <c r="AP46" i="3"/>
  <c r="AO46" i="3"/>
  <c r="AS46" i="3"/>
  <c r="AQ46" i="3"/>
  <c r="AN46" i="3"/>
  <c r="AR46" i="3"/>
  <c r="AT46" i="3"/>
  <c r="J44" i="45" s="1"/>
  <c r="AM46" i="3"/>
  <c r="I44" i="45" s="1"/>
  <c r="AK46" i="3" a="1"/>
  <c r="AK46" i="3" s="1"/>
  <c r="AP33" i="3"/>
  <c r="AO33" i="3"/>
  <c r="AM33" i="3"/>
  <c r="I31" i="45" s="1"/>
  <c r="AK33" i="3" a="1"/>
  <c r="AK33" i="3" s="1"/>
  <c r="AT33" i="3"/>
  <c r="J31" i="45" s="1"/>
  <c r="AR33" i="3"/>
  <c r="AN33" i="3"/>
  <c r="AS33" i="3"/>
  <c r="AQ33" i="3"/>
  <c r="H31" i="45"/>
  <c r="AT31" i="3"/>
  <c r="J29" i="45" s="1"/>
  <c r="AN31" i="3"/>
  <c r="AP31" i="3"/>
  <c r="AO31" i="3"/>
  <c r="M116" i="3"/>
  <c r="AA114" i="3" s="1"/>
  <c r="D114" i="3" s="1"/>
  <c r="AQ31" i="3"/>
  <c r="AM31" i="3"/>
  <c r="I29" i="45" s="1"/>
  <c r="AK31" i="3" a="1"/>
  <c r="AK31" i="3" s="1"/>
  <c r="AS31" i="3"/>
  <c r="AR31" i="3"/>
  <c r="K29" i="45" s="1"/>
  <c r="H29" i="45"/>
  <c r="M109" i="3"/>
  <c r="AA110" i="3" s="1"/>
  <c r="AM30" i="3"/>
  <c r="I28" i="45" s="1"/>
  <c r="AS30" i="3"/>
  <c r="AR30" i="3"/>
  <c r="K28" i="45" s="1"/>
  <c r="AO30" i="3"/>
  <c r="H28" i="45"/>
  <c r="AN30" i="3"/>
  <c r="AP30" i="3"/>
  <c r="AK30" i="3" a="1"/>
  <c r="AK30" i="3" s="1"/>
  <c r="AT30" i="3"/>
  <c r="J28" i="45" s="1"/>
  <c r="AQ30" i="3"/>
  <c r="N104" i="3"/>
  <c r="AF102" i="3" s="1"/>
  <c r="H45" i="45"/>
  <c r="AK47" i="3" a="1"/>
  <c r="AK47" i="3" s="1"/>
  <c r="AR47" i="3"/>
  <c r="AO47" i="3"/>
  <c r="AQ47" i="3"/>
  <c r="AS47" i="3"/>
  <c r="AP47" i="3"/>
  <c r="AN47" i="3"/>
  <c r="AM47" i="3"/>
  <c r="I45" i="45" s="1"/>
  <c r="AT47" i="3"/>
  <c r="J45" i="45" s="1"/>
  <c r="AR41" i="3"/>
  <c r="AK41" i="3" a="1"/>
  <c r="AK41" i="3" s="1"/>
  <c r="AN41" i="3"/>
  <c r="AM41" i="3"/>
  <c r="I39" i="45" s="1"/>
  <c r="AO41" i="3"/>
  <c r="AS41" i="3"/>
  <c r="AQ41" i="3"/>
  <c r="AP41" i="3"/>
  <c r="AT41" i="3"/>
  <c r="J39" i="45" s="1"/>
  <c r="H39" i="45"/>
  <c r="AR48" i="3"/>
  <c r="AN48" i="3"/>
  <c r="AO48" i="3"/>
  <c r="H46" i="45"/>
  <c r="AQ48" i="3"/>
  <c r="AS48" i="3"/>
  <c r="AK48" i="3" a="1"/>
  <c r="AK48" i="3" s="1"/>
  <c r="AM48" i="3"/>
  <c r="I46" i="45" s="1"/>
  <c r="AT48" i="3"/>
  <c r="J46" i="45" s="1"/>
  <c r="AP48" i="3"/>
  <c r="F201" i="40"/>
  <c r="F334" i="40"/>
  <c r="F443" i="40"/>
  <c r="F365" i="40"/>
  <c r="F347" i="40"/>
  <c r="H449" i="40"/>
  <c r="F36" i="40"/>
  <c r="F492" i="40"/>
  <c r="F192" i="40"/>
  <c r="H140" i="40"/>
  <c r="F278" i="40"/>
  <c r="F321" i="40"/>
  <c r="F190" i="40"/>
  <c r="H263" i="40"/>
  <c r="F268" i="40"/>
  <c r="F181" i="40"/>
  <c r="H142" i="40"/>
  <c r="F8" i="40"/>
  <c r="H138" i="40"/>
  <c r="F159" i="40"/>
  <c r="H429" i="40"/>
  <c r="H135" i="40"/>
  <c r="F432" i="40"/>
  <c r="H239" i="40"/>
  <c r="H238" i="40"/>
  <c r="F21" i="40"/>
  <c r="I285" i="40"/>
  <c r="F356" i="40"/>
  <c r="F78" i="40"/>
  <c r="F46" i="40"/>
  <c r="F59" i="40"/>
  <c r="F359" i="40"/>
  <c r="H259" i="40"/>
  <c r="F44" i="40"/>
  <c r="H463" i="40"/>
  <c r="I460" i="40"/>
  <c r="H240" i="40"/>
  <c r="H29" i="40"/>
  <c r="F72" i="40"/>
  <c r="F361" i="40"/>
  <c r="H261" i="40"/>
  <c r="F6" i="40"/>
  <c r="F494" i="40"/>
  <c r="F319" i="40"/>
  <c r="F458" i="40"/>
  <c r="H255" i="40"/>
  <c r="F202" i="40"/>
  <c r="H116" i="40"/>
  <c r="F358" i="40"/>
  <c r="H256" i="40"/>
  <c r="H112" i="40"/>
  <c r="F188" i="40"/>
  <c r="F126" i="40"/>
  <c r="I496" i="40"/>
  <c r="F76" i="40"/>
  <c r="F247" i="40"/>
  <c r="F164" i="40"/>
  <c r="F60" i="40"/>
  <c r="F270" i="40"/>
  <c r="F45" i="40"/>
  <c r="F62" i="40"/>
  <c r="F148" i="40"/>
  <c r="H232" i="40"/>
  <c r="F369" i="40"/>
  <c r="F483" i="40"/>
  <c r="F339" i="40"/>
  <c r="H236" i="40"/>
  <c r="F343" i="40"/>
  <c r="I251" i="40"/>
  <c r="F9" i="40"/>
  <c r="F442" i="40"/>
  <c r="F323" i="40"/>
  <c r="AK39" i="3" a="1"/>
  <c r="AK39" i="3" s="1"/>
  <c r="AO39" i="3"/>
  <c r="AP39" i="3"/>
  <c r="H37" i="45"/>
  <c r="AT39" i="3"/>
  <c r="J37" i="45" s="1"/>
  <c r="AN39" i="3"/>
  <c r="AS39" i="3"/>
  <c r="AQ39" i="3"/>
  <c r="AM39" i="3"/>
  <c r="I37" i="45" s="1"/>
  <c r="AR39" i="3"/>
  <c r="M106" i="3"/>
  <c r="AA105" i="3" s="1"/>
  <c r="F153" i="40"/>
  <c r="F122" i="40"/>
  <c r="F200" i="40"/>
  <c r="F20" i="40"/>
  <c r="F55" i="40"/>
  <c r="F360" i="40"/>
  <c r="F487" i="40"/>
  <c r="F199" i="40"/>
  <c r="F344" i="40"/>
  <c r="I276" i="40"/>
  <c r="F193" i="40"/>
  <c r="I461" i="40"/>
  <c r="H283" i="40"/>
  <c r="F281" i="40"/>
  <c r="F34" i="40"/>
  <c r="F38" i="40"/>
  <c r="H440" i="40"/>
  <c r="F318" i="40"/>
  <c r="F335" i="40"/>
  <c r="F328" i="40"/>
  <c r="F82" i="40"/>
  <c r="F74" i="40"/>
  <c r="F482" i="40"/>
  <c r="F180" i="40"/>
  <c r="F69" i="40"/>
  <c r="F41" i="40"/>
  <c r="H136" i="40"/>
  <c r="F66" i="40"/>
  <c r="I273" i="40"/>
  <c r="H470" i="40"/>
  <c r="H478" i="40"/>
  <c r="H464" i="40"/>
  <c r="F119" i="40"/>
  <c r="F317" i="40"/>
  <c r="F353" i="40"/>
  <c r="H233" i="40"/>
  <c r="F457" i="40"/>
  <c r="F178" i="40"/>
  <c r="F189" i="40"/>
  <c r="F363" i="40"/>
  <c r="H111" i="40"/>
  <c r="F456" i="40"/>
  <c r="H113" i="40"/>
  <c r="F337" i="40"/>
  <c r="H271" i="40"/>
  <c r="F269" i="40"/>
  <c r="F245" i="40"/>
  <c r="H253" i="40"/>
  <c r="F324" i="40"/>
  <c r="H246" i="40"/>
  <c r="F340" i="40"/>
  <c r="H479" i="40"/>
  <c r="F183" i="40"/>
  <c r="F179" i="40"/>
  <c r="H234" i="40"/>
  <c r="H437" i="40"/>
  <c r="H480" i="40"/>
  <c r="F71" i="40"/>
  <c r="F454" i="40"/>
  <c r="F73" i="40"/>
  <c r="F242" i="40"/>
  <c r="F68" i="40"/>
  <c r="F366" i="40"/>
  <c r="F330" i="40"/>
  <c r="F39" i="40"/>
  <c r="H262" i="40"/>
  <c r="H450" i="40"/>
  <c r="H143" i="40"/>
  <c r="F7" i="40"/>
  <c r="F22" i="40"/>
  <c r="F320" i="40"/>
  <c r="H467" i="40"/>
  <c r="H473" i="40"/>
  <c r="F156" i="40"/>
  <c r="I131" i="40"/>
  <c r="F357" i="40"/>
  <c r="F37" i="40"/>
  <c r="F175" i="40"/>
  <c r="H472" i="40"/>
  <c r="F177" i="40"/>
  <c r="F368" i="40"/>
  <c r="H342" i="40"/>
  <c r="F154" i="40"/>
  <c r="F4" i="40"/>
  <c r="F191" i="40"/>
  <c r="F495" i="40"/>
  <c r="F23" i="40"/>
  <c r="F434" i="40"/>
  <c r="F65" i="40"/>
  <c r="H433" i="40"/>
  <c r="F118" i="40"/>
  <c r="F277" i="40"/>
  <c r="I448" i="40"/>
  <c r="H252" i="40"/>
  <c r="F452" i="40"/>
  <c r="H145" i="40"/>
  <c r="I491" i="40"/>
  <c r="H477" i="40"/>
  <c r="F157" i="40"/>
  <c r="F332" i="40"/>
  <c r="F64" i="40"/>
  <c r="H146" i="40"/>
  <c r="F40" i="40"/>
  <c r="H133" i="40"/>
  <c r="F121" i="40"/>
  <c r="F150" i="40"/>
  <c r="H27" i="40"/>
  <c r="H26" i="40"/>
  <c r="F354" i="40"/>
  <c r="F120" i="40"/>
  <c r="H231" i="40"/>
  <c r="F316" i="40"/>
  <c r="F493" i="40"/>
  <c r="F455" i="40"/>
  <c r="F67" i="40"/>
  <c r="F117" i="40"/>
  <c r="F10" i="40"/>
  <c r="F24" i="40"/>
  <c r="F58" i="40"/>
  <c r="F453" i="40"/>
  <c r="I489" i="40"/>
  <c r="F42" i="40"/>
  <c r="I165" i="40"/>
  <c r="F331" i="40"/>
  <c r="F352" i="40"/>
  <c r="F61" i="40"/>
  <c r="F155" i="40"/>
  <c r="F184" i="40"/>
  <c r="F56" i="40"/>
  <c r="F25" i="40"/>
  <c r="F123" i="40"/>
  <c r="F346" i="40"/>
  <c r="F35" i="40"/>
  <c r="F362" i="40"/>
  <c r="F163" i="40"/>
  <c r="I459" i="40"/>
  <c r="H249" i="40"/>
  <c r="H257" i="40"/>
  <c r="H436" i="40"/>
  <c r="H469" i="40"/>
  <c r="F364" i="40"/>
  <c r="H272" i="40"/>
  <c r="F125" i="40"/>
  <c r="H474" i="40"/>
  <c r="H481" i="40"/>
  <c r="H465" i="40"/>
  <c r="F5" i="40"/>
  <c r="H441" i="40"/>
  <c r="F282" i="40"/>
  <c r="H132" i="40"/>
  <c r="F243" i="40"/>
  <c r="F176" i="40"/>
  <c r="F130" i="40"/>
  <c r="H336" i="40"/>
  <c r="I128" i="40"/>
  <c r="F161" i="40"/>
  <c r="H141" i="40"/>
  <c r="H475" i="40"/>
  <c r="H446" i="40"/>
  <c r="F198" i="40"/>
  <c r="F338" i="40"/>
  <c r="H428" i="40"/>
  <c r="F127" i="40"/>
  <c r="I451" i="40"/>
  <c r="F341" i="40"/>
  <c r="F315" i="40"/>
  <c r="F166" i="40"/>
  <c r="F147" i="40"/>
  <c r="F129" i="40"/>
  <c r="F79" i="40"/>
  <c r="H266" i="40"/>
  <c r="F194" i="40"/>
  <c r="H137" i="40"/>
  <c r="H430" i="40"/>
  <c r="F280" i="40"/>
  <c r="F355" i="40"/>
  <c r="F345" i="40"/>
  <c r="F485" i="40"/>
  <c r="F445" i="40"/>
  <c r="F158" i="40"/>
  <c r="H476" i="40"/>
  <c r="F370" i="40"/>
  <c r="H235" i="40"/>
  <c r="F484" i="40"/>
  <c r="F197" i="40"/>
  <c r="I286" i="40"/>
  <c r="F43" i="40"/>
  <c r="H275" i="40"/>
  <c r="H468" i="40"/>
  <c r="H30" i="40"/>
  <c r="F333" i="40"/>
  <c r="H250" i="40"/>
  <c r="H466" i="40"/>
  <c r="H427" i="40"/>
  <c r="H431" i="40"/>
  <c r="F244" i="40"/>
  <c r="H462" i="40"/>
  <c r="H439" i="40"/>
  <c r="F351" i="40"/>
  <c r="F195" i="40"/>
  <c r="F447" i="40"/>
  <c r="H134" i="40"/>
  <c r="F329" i="40"/>
  <c r="F77" i="40"/>
  <c r="H258" i="40"/>
  <c r="H438" i="40"/>
  <c r="F32" i="40"/>
  <c r="F160" i="40"/>
  <c r="F124" i="40"/>
  <c r="I248" i="40"/>
  <c r="F3" i="40"/>
  <c r="F348" i="40"/>
  <c r="F350" i="40"/>
  <c r="F196" i="40"/>
  <c r="H115" i="40"/>
  <c r="H144" i="40"/>
  <c r="F325" i="40"/>
  <c r="H264" i="40"/>
  <c r="H241" i="40"/>
  <c r="H254" i="40"/>
  <c r="F367" i="40"/>
  <c r="H28" i="40"/>
  <c r="I490" i="40"/>
  <c r="F327" i="40"/>
  <c r="F81" i="40"/>
  <c r="F435" i="40"/>
  <c r="H471" i="40"/>
  <c r="F63" i="40"/>
  <c r="F149" i="40"/>
  <c r="H265" i="40"/>
  <c r="F33" i="40"/>
  <c r="F151" i="40"/>
  <c r="F267" i="40"/>
  <c r="H274" i="40"/>
  <c r="F322" i="40"/>
  <c r="F279" i="40"/>
  <c r="F75" i="40"/>
  <c r="H260" i="40"/>
  <c r="H139" i="40"/>
  <c r="F70" i="40"/>
  <c r="H19" i="40"/>
  <c r="F57" i="40"/>
  <c r="F186" i="40"/>
  <c r="H488" i="40"/>
  <c r="F187" i="40"/>
  <c r="F444" i="40"/>
  <c r="F237" i="40"/>
  <c r="F349" i="40"/>
  <c r="F80" i="40"/>
  <c r="I284" i="40"/>
  <c r="H31" i="40"/>
  <c r="F162" i="40"/>
  <c r="F326" i="40"/>
  <c r="H114" i="40"/>
  <c r="F486" i="40"/>
  <c r="F182" i="40"/>
  <c r="F152" i="40"/>
  <c r="F185" i="40"/>
  <c r="AT32" i="3"/>
  <c r="J30" i="45" s="1"/>
  <c r="AM32" i="3"/>
  <c r="I30" i="45" s="1"/>
  <c r="AR32" i="3"/>
  <c r="AK32" i="3" a="1"/>
  <c r="AK32" i="3" s="1"/>
  <c r="AQ32" i="3"/>
  <c r="AN32" i="3"/>
  <c r="H30" i="45"/>
  <c r="AP32" i="3"/>
  <c r="AO32" i="3"/>
  <c r="AS32" i="3"/>
  <c r="BF63" i="3"/>
  <c r="BJ63" i="3" s="1"/>
  <c r="BL63" i="3" s="1"/>
  <c r="BE63" i="3"/>
  <c r="BR63" i="3" s="1"/>
  <c r="BE61" i="3"/>
  <c r="BR61" i="3" s="1"/>
  <c r="BF61" i="3"/>
  <c r="BJ61" i="3" s="1"/>
  <c r="BL61" i="3" s="1"/>
  <c r="BE62" i="3"/>
  <c r="BR62" i="3" s="1"/>
  <c r="BF62" i="3"/>
  <c r="D105" i="3"/>
  <c r="AK78" i="3" a="1"/>
  <c r="AK78" i="3" s="1"/>
  <c r="AQ78" i="3"/>
  <c r="AR78" i="3"/>
  <c r="AS78" i="3"/>
  <c r="AP78" i="3"/>
  <c r="AT78" i="3"/>
  <c r="V28" i="45" s="1"/>
  <c r="AO78" i="3"/>
  <c r="AM78" i="3"/>
  <c r="U28" i="45" s="1"/>
  <c r="AN78" i="3"/>
  <c r="T28" i="45"/>
  <c r="BI69"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BH68" i="3"/>
  <c r="BF68" i="3" s="1"/>
  <c r="BE68" i="3" s="1"/>
  <c r="BR68" i="3" s="1"/>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M94" i="3"/>
  <c r="U44" i="45" s="1"/>
  <c r="AS94" i="3"/>
  <c r="AT94" i="3"/>
  <c r="V44" i="45" s="1"/>
  <c r="AO94" i="3"/>
  <c r="AP94" i="3"/>
  <c r="AN94" i="3"/>
  <c r="AQ94" i="3"/>
  <c r="AK94" i="3" a="1"/>
  <c r="AK94" i="3" s="1"/>
  <c r="AR94" i="3"/>
  <c r="T44" i="45"/>
  <c r="BI65" i="3"/>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R57" i="3"/>
  <c r="AK57" i="3" a="1"/>
  <c r="AK57" i="3" s="1"/>
  <c r="AN57" i="3"/>
  <c r="T7" i="45"/>
  <c r="AQ57" i="3"/>
  <c r="AP57" i="3"/>
  <c r="AM57" i="3"/>
  <c r="U7" i="45" s="1"/>
  <c r="AS57" i="3"/>
  <c r="AT57" i="3"/>
  <c r="V7" i="45" s="1"/>
  <c r="AO57" i="3"/>
  <c r="AT96" i="3"/>
  <c r="V46" i="45" s="1"/>
  <c r="AR96" i="3"/>
  <c r="AP96" i="3"/>
  <c r="AQ96" i="3"/>
  <c r="AM96" i="3"/>
  <c r="U46" i="45" s="1"/>
  <c r="AN96" i="3"/>
  <c r="T46" i="45"/>
  <c r="AK96" i="3" a="1"/>
  <c r="AK96" i="3" s="1"/>
  <c r="AS96" i="3"/>
  <c r="AO96" i="3"/>
  <c r="AK71" i="3" a="1"/>
  <c r="AK71" i="3" s="1"/>
  <c r="AM71" i="3"/>
  <c r="U21" i="45" s="1"/>
  <c r="AS71" i="3"/>
  <c r="AN71" i="3"/>
  <c r="AP71" i="3"/>
  <c r="AR71" i="3"/>
  <c r="W21" i="45" s="1"/>
  <c r="AO71" i="3"/>
  <c r="AQ71" i="3"/>
  <c r="AT71" i="3"/>
  <c r="V21" i="45" s="1"/>
  <c r="T21" i="45"/>
  <c r="AP79" i="3"/>
  <c r="AS79" i="3"/>
  <c r="AK79" i="3" a="1"/>
  <c r="AK79" i="3" s="1"/>
  <c r="AO79" i="3"/>
  <c r="T29" i="45"/>
  <c r="AQ79" i="3"/>
  <c r="AM79" i="3"/>
  <c r="U29" i="45" s="1"/>
  <c r="AR79" i="3"/>
  <c r="W29" i="45" s="1"/>
  <c r="AN79" i="3"/>
  <c r="AT79" i="3"/>
  <c r="V29" i="45" s="1"/>
  <c r="AS55" i="3"/>
  <c r="AK55" i="3" a="1"/>
  <c r="AK55" i="3" s="1"/>
  <c r="AP55" i="3"/>
  <c r="AT55" i="3"/>
  <c r="V5" i="45" s="1"/>
  <c r="AN55" i="3"/>
  <c r="AM55" i="3"/>
  <c r="U5" i="45" s="1"/>
  <c r="AQ55" i="3"/>
  <c r="AO55" i="3"/>
  <c r="AR55" i="3"/>
  <c r="W5" i="45" s="1"/>
  <c r="T5" i="45"/>
  <c r="AT95" i="3"/>
  <c r="V45" i="45" s="1"/>
  <c r="T45" i="45"/>
  <c r="AP95" i="3"/>
  <c r="AR95" i="3"/>
  <c r="AM95" i="3"/>
  <c r="U45" i="45" s="1"/>
  <c r="AO95" i="3"/>
  <c r="AS95" i="3"/>
  <c r="AN95" i="3"/>
  <c r="AQ95" i="3"/>
  <c r="AK95" i="3" a="1"/>
  <c r="AK95" i="3" s="1"/>
  <c r="AT86" i="3"/>
  <c r="V36" i="45" s="1"/>
  <c r="AO86" i="3"/>
  <c r="AP86" i="3"/>
  <c r="T36" i="45"/>
  <c r="AQ86" i="3"/>
  <c r="AN86" i="3"/>
  <c r="AK86" i="3" a="1"/>
  <c r="AK86" i="3" s="1"/>
  <c r="AM86" i="3"/>
  <c r="U36" i="45" s="1"/>
  <c r="AS86" i="3"/>
  <c r="AR86" i="3"/>
  <c r="W36" i="45" s="1"/>
  <c r="AS87" i="3"/>
  <c r="AN87" i="3"/>
  <c r="T37" i="45"/>
  <c r="AP87" i="3"/>
  <c r="AO87" i="3"/>
  <c r="AQ87" i="3"/>
  <c r="AK87" i="3" a="1"/>
  <c r="AK87" i="3" s="1"/>
  <c r="AT87" i="3"/>
  <c r="V37" i="45" s="1"/>
  <c r="AR87" i="3"/>
  <c r="AM87" i="3"/>
  <c r="U37" i="45" s="1"/>
  <c r="AT65" i="3"/>
  <c r="V15" i="45" s="1"/>
  <c r="AR65" i="3"/>
  <c r="AM65" i="3"/>
  <c r="U15" i="45" s="1"/>
  <c r="AO65" i="3"/>
  <c r="AP65" i="3"/>
  <c r="AK65" i="3" a="1"/>
  <c r="AK65" i="3" s="1"/>
  <c r="AS65" i="3"/>
  <c r="AN65" i="3"/>
  <c r="T15" i="45"/>
  <c r="AQ65" i="3"/>
  <c r="BE67" i="3"/>
  <c r="BR67" i="3" s="1"/>
  <c r="BF67" i="3"/>
  <c r="BJ67" i="3" s="1"/>
  <c r="BL67" i="3" s="1"/>
  <c r="BF65" i="3"/>
  <c r="BJ65" i="3" s="1"/>
  <c r="BL65" i="3" s="1"/>
  <c r="BE65" i="3"/>
  <c r="BR65" i="3" s="1"/>
  <c r="AQ70" i="3"/>
  <c r="AP70" i="3"/>
  <c r="AT70" i="3"/>
  <c r="V20" i="45" s="1"/>
  <c r="AO70" i="3"/>
  <c r="AS70" i="3"/>
  <c r="AN70" i="3"/>
  <c r="AM70" i="3"/>
  <c r="U20" i="45" s="1"/>
  <c r="AR70" i="3"/>
  <c r="T20" i="45"/>
  <c r="AK70" i="3" a="1"/>
  <c r="AK70" i="3" s="1"/>
  <c r="AQ89" i="3"/>
  <c r="AM89" i="3"/>
  <c r="U39" i="45" s="1"/>
  <c r="AN89" i="3"/>
  <c r="AK89" i="3" a="1"/>
  <c r="AK89" i="3" s="1"/>
  <c r="AR89" i="3"/>
  <c r="T39" i="45"/>
  <c r="AP89" i="3"/>
  <c r="AO89" i="3"/>
  <c r="AS89" i="3"/>
  <c r="AT89" i="3"/>
  <c r="V39" i="45" s="1"/>
  <c r="BH64"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K64" i="3" a="1"/>
  <c r="AK64" i="3" s="1"/>
  <c r="AR64" i="3"/>
  <c r="AT64" i="3"/>
  <c r="V14" i="45" s="1"/>
  <c r="AM64" i="3"/>
  <c r="U14" i="45" s="1"/>
  <c r="AQ64" i="3"/>
  <c r="AN64" i="3"/>
  <c r="AO64" i="3"/>
  <c r="AP64" i="3"/>
  <c r="T14" i="45"/>
  <c r="AS64" i="3"/>
  <c r="BG66" i="3"/>
  <c r="E185" i="40"/>
  <c r="J469" i="40"/>
  <c r="I150" i="40"/>
  <c r="E170" i="40"/>
  <c r="J312" i="40"/>
  <c r="J455" i="40"/>
  <c r="E169" i="40"/>
  <c r="I381" i="40"/>
  <c r="J464" i="40"/>
  <c r="I450" i="40"/>
  <c r="G287" i="40"/>
  <c r="J360" i="40"/>
  <c r="E218" i="40"/>
  <c r="I410" i="40"/>
  <c r="D323" i="40"/>
  <c r="G59" i="40"/>
  <c r="G68" i="40"/>
  <c r="I293" i="40"/>
  <c r="G91" i="40"/>
  <c r="I486" i="40"/>
  <c r="I445" i="40"/>
  <c r="E243" i="40"/>
  <c r="I470" i="40"/>
  <c r="I391" i="40"/>
  <c r="I421" i="40"/>
  <c r="I396" i="40"/>
  <c r="I125" i="40"/>
  <c r="E19" i="40"/>
  <c r="I359" i="40"/>
  <c r="J235" i="40"/>
  <c r="D463" i="40"/>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67" i="40"/>
  <c r="J115" i="40"/>
  <c r="I320" i="40"/>
  <c r="J485" i="40"/>
  <c r="I155" i="40"/>
  <c r="I457" i="40"/>
  <c r="E210" i="40"/>
  <c r="E231" i="40"/>
  <c r="I329" i="40"/>
  <c r="J430" i="40"/>
  <c r="G83" i="40"/>
  <c r="E175" i="40"/>
  <c r="I209" i="40"/>
  <c r="I340" i="40"/>
  <c r="I95" i="40"/>
  <c r="I104" i="40"/>
  <c r="J251" i="40"/>
  <c r="C371" i="40"/>
  <c r="J24" i="40"/>
  <c r="D119" i="40"/>
  <c r="G49" i="40"/>
  <c r="J149" i="40"/>
  <c r="J395" i="40"/>
  <c r="I422" i="40"/>
  <c r="J269" i="40"/>
  <c r="J240" i="40"/>
  <c r="J46" i="40"/>
  <c r="J416" i="40"/>
  <c r="J333" i="40"/>
  <c r="J426" i="40"/>
  <c r="AP62" i="3"/>
  <c r="AR62" i="3"/>
  <c r="T12" i="45"/>
  <c r="AK62" i="3" a="1"/>
  <c r="AK62" i="3" s="1"/>
  <c r="AQ62" i="3"/>
  <c r="AO62" i="3"/>
  <c r="AT62" i="3"/>
  <c r="V12" i="45" s="1"/>
  <c r="AS62" i="3"/>
  <c r="AN62" i="3"/>
  <c r="AM62" i="3"/>
  <c r="U12" i="45" s="1"/>
  <c r="AN80" i="3"/>
  <c r="AS80" i="3"/>
  <c r="AT80" i="3"/>
  <c r="V30" i="45" s="1"/>
  <c r="AP80" i="3"/>
  <c r="AQ80" i="3"/>
  <c r="AM80" i="3"/>
  <c r="U30" i="45" s="1"/>
  <c r="AK80" i="3" a="1"/>
  <c r="AK80" i="3" s="1"/>
  <c r="AO80" i="3"/>
  <c r="AR80" i="3"/>
  <c r="T30" i="45"/>
  <c r="AT72" i="3"/>
  <c r="V22" i="45" s="1"/>
  <c r="AS72" i="3"/>
  <c r="AP72" i="3"/>
  <c r="AK72" i="3" a="1"/>
  <c r="AK72" i="3" s="1"/>
  <c r="AM72" i="3"/>
  <c r="U22" i="45" s="1"/>
  <c r="AR72" i="3"/>
  <c r="AO72" i="3"/>
  <c r="AQ72" i="3"/>
  <c r="AN72" i="3"/>
  <c r="T22" i="45"/>
  <c r="AS73" i="3"/>
  <c r="AN73" i="3"/>
  <c r="AP73" i="3"/>
  <c r="T23" i="45"/>
  <c r="AT73" i="3"/>
  <c r="V23" i="45" s="1"/>
  <c r="AR73" i="3"/>
  <c r="W23" i="45" s="1"/>
  <c r="AM73" i="3"/>
  <c r="U23" i="45" s="1"/>
  <c r="AO73" i="3"/>
  <c r="AQ73" i="3"/>
  <c r="AK73" i="3" a="1"/>
  <c r="AK73" i="3" s="1"/>
  <c r="AM88" i="3"/>
  <c r="U38" i="45" s="1"/>
  <c r="AO88" i="3"/>
  <c r="AT88" i="3"/>
  <c r="V38" i="45" s="1"/>
  <c r="AR88" i="3"/>
  <c r="AQ88" i="3"/>
  <c r="AN88" i="3"/>
  <c r="AP88" i="3"/>
  <c r="T38" i="45"/>
  <c r="AK88" i="3" a="1"/>
  <c r="AK88" i="3" s="1"/>
  <c r="AS88" i="3"/>
  <c r="AK97" i="3" a="1"/>
  <c r="AK97" i="3" s="1"/>
  <c r="AN97" i="3"/>
  <c r="AS97" i="3"/>
  <c r="AR97" i="3"/>
  <c r="W47" i="45" s="1"/>
  <c r="AM97" i="3"/>
  <c r="U47" i="45" s="1"/>
  <c r="AP97" i="3"/>
  <c r="AQ97" i="3"/>
  <c r="AO97" i="3"/>
  <c r="AT97" i="3"/>
  <c r="V47" i="45" s="1"/>
  <c r="T47" i="45"/>
  <c r="AQ63" i="3"/>
  <c r="AR63" i="3"/>
  <c r="AN63" i="3"/>
  <c r="AO63" i="3"/>
  <c r="AT63" i="3"/>
  <c r="V13" i="45" s="1"/>
  <c r="T13" i="45"/>
  <c r="AM63" i="3"/>
  <c r="U13" i="45" s="1"/>
  <c r="AK63" i="3" a="1"/>
  <c r="AK63" i="3" s="1"/>
  <c r="AP63" i="3"/>
  <c r="AS63" i="3"/>
  <c r="AS56" i="3"/>
  <c r="AR56" i="3"/>
  <c r="W6" i="45" s="1"/>
  <c r="AP56" i="3"/>
  <c r="T6" i="45"/>
  <c r="AK56" i="3" a="1"/>
  <c r="AK56" i="3" s="1"/>
  <c r="AN56" i="3"/>
  <c r="AM56" i="3"/>
  <c r="U6" i="45" s="1"/>
  <c r="AQ56" i="3"/>
  <c r="AO56" i="3"/>
  <c r="AT56" i="3"/>
  <c r="V6" i="45" s="1"/>
  <c r="G101" i="40"/>
  <c r="D135" i="40"/>
  <c r="D99" i="40"/>
  <c r="D372" i="40"/>
  <c r="D32" i="40"/>
  <c r="G89" i="40"/>
  <c r="I388" i="40"/>
  <c r="G158" i="40"/>
  <c r="G11" i="40"/>
  <c r="D325" i="40"/>
  <c r="D287" i="40"/>
  <c r="D377" i="40"/>
  <c r="D412" i="40"/>
  <c r="D375" i="40"/>
  <c r="D308" i="40"/>
  <c r="G104" i="40"/>
  <c r="D447" i="40"/>
  <c r="D290" i="40"/>
  <c r="E43" i="40"/>
  <c r="J441" i="40"/>
  <c r="D252" i="40"/>
  <c r="E262" i="40"/>
  <c r="D303" i="40"/>
  <c r="D353" i="40"/>
  <c r="D293" i="40"/>
  <c r="D136" i="40"/>
  <c r="D373" i="40"/>
  <c r="J494" i="40"/>
  <c r="D396" i="40"/>
  <c r="J387" i="40"/>
  <c r="D464" i="40"/>
  <c r="D83" i="40"/>
  <c r="D220" i="40"/>
  <c r="E187" i="40"/>
  <c r="D402" i="40"/>
  <c r="I438" i="40"/>
  <c r="D319" i="40"/>
  <c r="D94" i="40"/>
  <c r="D451" i="40"/>
  <c r="D326" i="40"/>
  <c r="D147" i="40"/>
  <c r="D121" i="40"/>
  <c r="G142" i="40"/>
  <c r="E42" i="40"/>
  <c r="D307" i="40"/>
  <c r="D84" i="40"/>
  <c r="G140" i="40"/>
  <c r="E10" i="40"/>
  <c r="D64" i="40"/>
  <c r="D360" i="40"/>
  <c r="E186" i="40"/>
  <c r="D407" i="40"/>
  <c r="E184" i="40"/>
  <c r="D62" i="40"/>
  <c r="D380" i="40"/>
  <c r="I363" i="40"/>
  <c r="D343" i="40"/>
  <c r="G113" i="40"/>
  <c r="E232" i="40"/>
  <c r="D97" i="40"/>
  <c r="D397" i="40"/>
  <c r="D467" i="40"/>
  <c r="D269" i="40"/>
  <c r="D344" i="40"/>
  <c r="D483" i="40"/>
  <c r="E215" i="40"/>
  <c r="D48" i="40"/>
  <c r="D487" i="40"/>
  <c r="J335" i="40"/>
  <c r="D149" i="40"/>
  <c r="D210" i="40"/>
  <c r="E24" i="40"/>
  <c r="G76" i="40"/>
  <c r="G88" i="40"/>
  <c r="D231" i="40"/>
  <c r="J362" i="40"/>
  <c r="D406" i="40"/>
  <c r="D371" i="40"/>
  <c r="E257" i="40"/>
  <c r="D356" i="40"/>
  <c r="D152" i="40"/>
  <c r="D2" i="40"/>
  <c r="G3" i="40"/>
  <c r="D350" i="40"/>
  <c r="G21" i="40"/>
  <c r="G115" i="40"/>
  <c r="D133" i="40"/>
  <c r="D490" i="40"/>
  <c r="E199" i="40"/>
  <c r="E223" i="40"/>
  <c r="D156" i="40"/>
  <c r="E196" i="40"/>
  <c r="E22" i="40"/>
  <c r="E260" i="40"/>
  <c r="D253" i="40"/>
  <c r="D296" i="40"/>
  <c r="D189" i="40"/>
  <c r="D357" i="40"/>
  <c r="D382" i="40"/>
  <c r="E251" i="40"/>
  <c r="D273" i="40"/>
  <c r="G146" i="40"/>
  <c r="D329" i="40"/>
  <c r="D167" i="40"/>
  <c r="G82" i="40"/>
  <c r="G27" i="40"/>
  <c r="D51" i="40"/>
  <c r="D416" i="40"/>
  <c r="G103" i="40"/>
  <c r="G60" i="40"/>
  <c r="D354" i="40"/>
  <c r="D444" i="40"/>
  <c r="D20" i="40"/>
  <c r="E230" i="40"/>
  <c r="D49" i="40"/>
  <c r="G75" i="40"/>
  <c r="D300" i="40"/>
  <c r="D315"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M81" i="3"/>
  <c r="U31" i="45" s="1"/>
  <c r="AK81" i="3" a="1"/>
  <c r="AK81" i="3" s="1"/>
  <c r="AN81" i="3"/>
  <c r="AS81" i="3"/>
  <c r="T31" i="45"/>
  <c r="AR81" i="3"/>
  <c r="W31" i="45" s="1"/>
  <c r="AO81" i="3"/>
  <c r="AT81" i="3"/>
  <c r="V31" i="45" s="1"/>
  <c r="AP81" i="3"/>
  <c r="AQ81" i="3"/>
  <c r="AP54" i="3"/>
  <c r="AQ54" i="3"/>
  <c r="T4" i="45"/>
  <c r="AS54" i="3"/>
  <c r="AN54" i="3"/>
  <c r="AM54" i="3"/>
  <c r="U4" i="45" s="1"/>
  <c r="AT54" i="3"/>
  <c r="V4" i="45" s="1"/>
  <c r="AK54" i="3" a="1"/>
  <c r="AK54" i="3" s="1"/>
  <c r="AR54" i="3"/>
  <c r="W4" i="45" s="1"/>
  <c r="AO54" i="3"/>
  <c r="K36" i="45"/>
  <c r="K45" i="45"/>
  <c r="K39" i="45"/>
  <c r="BL68" i="3"/>
  <c r="K30" i="45"/>
  <c r="BF69" i="3"/>
  <c r="BE69" i="3" s="1"/>
  <c r="BR69" i="3" s="1"/>
  <c r="BL69" i="3"/>
  <c r="K44" i="45"/>
  <c r="K37" i="45"/>
  <c r="K14" i="45" l="1"/>
  <c r="AG116" i="3"/>
  <c r="N127" i="3"/>
  <c r="AF127" i="3" s="1"/>
  <c r="AG115" i="3"/>
  <c r="M126" i="3"/>
  <c r="AA126" i="3" s="1"/>
  <c r="D126" i="3" s="1"/>
  <c r="N126" i="3"/>
  <c r="AF126" i="3" s="1"/>
  <c r="AG114" i="3"/>
  <c r="M124" i="3"/>
  <c r="AA124" i="3" s="1"/>
  <c r="AG112" i="3"/>
  <c r="AG111" i="3"/>
  <c r="N124" i="3"/>
  <c r="AF124" i="3" s="1"/>
  <c r="K38" i="45"/>
  <c r="N125" i="3"/>
  <c r="AF125" i="3" s="1"/>
  <c r="AG109" i="3"/>
  <c r="N123" i="3"/>
  <c r="AF123" i="3" s="1"/>
  <c r="AG108" i="3"/>
  <c r="AG106" i="3"/>
  <c r="N120" i="3"/>
  <c r="AF121" i="3" s="1"/>
  <c r="N122" i="3"/>
  <c r="AF122" i="3" s="1"/>
  <c r="AG105" i="3"/>
  <c r="W37" i="45"/>
  <c r="AA12" i="45"/>
  <c r="D104" i="3"/>
  <c r="AG103" i="3"/>
  <c r="M120" i="3"/>
  <c r="AA121" i="3" s="1"/>
  <c r="K47" i="45"/>
  <c r="W22" i="45"/>
  <c r="C97" i="31"/>
  <c r="C98" i="31"/>
  <c r="W20" i="45"/>
  <c r="C96" i="31"/>
  <c r="C99" i="31"/>
  <c r="AA3" i="45"/>
  <c r="C132" i="31"/>
  <c r="K22" i="45"/>
  <c r="W45" i="45"/>
  <c r="C102" i="31"/>
  <c r="C100" i="31"/>
  <c r="C103" i="31"/>
  <c r="C101" i="31"/>
  <c r="AA42" i="45"/>
  <c r="C143" i="31"/>
  <c r="B177" i="31"/>
  <c r="C177" i="31"/>
  <c r="K31" i="45"/>
  <c r="AA21" i="45"/>
  <c r="C139" i="31"/>
  <c r="B168" i="31"/>
  <c r="C168" i="31"/>
  <c r="AA30" i="45"/>
  <c r="C134" i="31"/>
  <c r="C165" i="31"/>
  <c r="B165" i="31"/>
  <c r="C131" i="31"/>
  <c r="AA27" i="45"/>
  <c r="D102" i="3"/>
  <c r="C90" i="31"/>
  <c r="C89" i="31"/>
  <c r="C88" i="31"/>
  <c r="C91" i="31"/>
  <c r="AA10" i="45"/>
  <c r="C146" i="31"/>
  <c r="D101" i="3"/>
  <c r="B164" i="31"/>
  <c r="C164" i="31"/>
  <c r="AA9" i="45"/>
  <c r="C130" i="31"/>
  <c r="AA45" i="45"/>
  <c r="C142" i="31"/>
  <c r="D113" i="3"/>
  <c r="C85" i="31"/>
  <c r="C84" i="31"/>
  <c r="C87" i="31"/>
  <c r="C86" i="31"/>
  <c r="C83" i="31"/>
  <c r="C82" i="31"/>
  <c r="C81" i="31"/>
  <c r="C80" i="31"/>
  <c r="C136" i="31"/>
  <c r="AA33" i="45"/>
  <c r="C149" i="31"/>
  <c r="AA13" i="45"/>
  <c r="C167" i="31"/>
  <c r="C133" i="31"/>
  <c r="B167" i="31"/>
  <c r="AA28" i="45"/>
  <c r="C147" i="31"/>
  <c r="K23" i="45"/>
  <c r="K20" i="45"/>
  <c r="K13" i="45"/>
  <c r="K5" i="45"/>
  <c r="K21" i="45"/>
  <c r="K46" i="45"/>
  <c r="BE59" i="3"/>
  <c r="BR59" i="3" s="1"/>
  <c r="BF59" i="3"/>
  <c r="BJ59" i="3" s="1"/>
  <c r="BL59" i="3" s="1"/>
  <c r="C94" i="31"/>
  <c r="C92" i="31"/>
  <c r="C93" i="31"/>
  <c r="C95" i="31"/>
  <c r="BF64" i="3"/>
  <c r="BJ64" i="3" s="1"/>
  <c r="BL64" i="3" s="1"/>
  <c r="BE64" i="3"/>
  <c r="BR64" i="3" s="1"/>
  <c r="W13" i="45"/>
  <c r="W30" i="45"/>
  <c r="W38" i="45"/>
  <c r="C117" i="31"/>
  <c r="C119" i="31"/>
  <c r="C118" i="31"/>
  <c r="C116" i="31"/>
  <c r="C127" i="31"/>
  <c r="C124" i="31"/>
  <c r="C126" i="31"/>
  <c r="C125" i="31"/>
  <c r="C123" i="31"/>
  <c r="C122" i="31"/>
  <c r="C120" i="31"/>
  <c r="C121" i="31"/>
  <c r="C114" i="31"/>
  <c r="C113" i="31"/>
  <c r="C115" i="31"/>
  <c r="C112" i="31"/>
  <c r="BE66" i="3"/>
  <c r="BR66" i="3" s="1"/>
  <c r="BF66" i="3"/>
  <c r="BJ66" i="3" s="1"/>
  <c r="BL66" i="3" s="1"/>
  <c r="C109" i="31"/>
  <c r="C110" i="31"/>
  <c r="C108" i="31"/>
  <c r="C111" i="31"/>
  <c r="C106" i="31"/>
  <c r="C105" i="31"/>
  <c r="C104" i="31"/>
  <c r="C107" i="31"/>
  <c r="W28" i="45"/>
  <c r="W46" i="45"/>
  <c r="W44" i="45"/>
  <c r="W15" i="45"/>
  <c r="W7" i="45"/>
  <c r="W39" i="45"/>
  <c r="W14" i="45"/>
  <c r="W12" i="45"/>
  <c r="AG126" i="3" l="1"/>
  <c r="M134" i="3"/>
  <c r="AA134" i="3" s="1"/>
  <c r="AE47" i="45"/>
  <c r="C197" i="31"/>
  <c r="C188" i="31"/>
  <c r="AE40" i="45"/>
  <c r="B206" i="31"/>
  <c r="C196" i="31"/>
  <c r="AE41" i="45"/>
  <c r="C206" i="31"/>
  <c r="AG113" i="3"/>
  <c r="M127" i="3"/>
  <c r="AA127" i="3" s="1"/>
  <c r="AE16" i="45"/>
  <c r="C186" i="31"/>
  <c r="D124" i="3"/>
  <c r="C204" i="31"/>
  <c r="AE17" i="45"/>
  <c r="C194" i="31"/>
  <c r="B204" i="31"/>
  <c r="AE23" i="45"/>
  <c r="C195" i="31"/>
  <c r="C193" i="31"/>
  <c r="AE35" i="45"/>
  <c r="C191" i="31"/>
  <c r="AE5" i="45"/>
  <c r="C192" i="31"/>
  <c r="AE29" i="45"/>
  <c r="N121" i="3"/>
  <c r="AF120" i="3" s="1"/>
  <c r="AG104" i="3"/>
  <c r="B201" i="31"/>
  <c r="C183" i="31"/>
  <c r="C201" i="31"/>
  <c r="AE4" i="45"/>
  <c r="D121" i="3"/>
  <c r="M122" i="3"/>
  <c r="AA122" i="3" s="1"/>
  <c r="AG102" i="3"/>
  <c r="AG101" i="3"/>
  <c r="M121" i="3"/>
  <c r="AA120" i="3" s="1"/>
  <c r="BS67" i="3"/>
  <c r="BS64" i="3"/>
  <c r="BS68" i="3"/>
  <c r="BS63" i="3"/>
  <c r="BS62" i="3"/>
  <c r="BS65" i="3"/>
  <c r="BS69" i="3"/>
  <c r="BS66" i="3"/>
  <c r="BS58" i="3"/>
  <c r="BS60" i="3"/>
  <c r="BS61" i="3"/>
  <c r="BS59" i="3"/>
  <c r="C213" i="31" l="1"/>
  <c r="AI43" i="45"/>
  <c r="C189" i="31"/>
  <c r="C207" i="31"/>
  <c r="B207" i="31"/>
  <c r="AE46" i="45"/>
  <c r="D127" i="3"/>
  <c r="AG124" i="3"/>
  <c r="M132" i="3"/>
  <c r="AA132" i="3" s="1"/>
  <c r="AE11" i="45"/>
  <c r="C190" i="31"/>
  <c r="AG121" i="3"/>
  <c r="M131" i="3"/>
  <c r="AA131" i="3" s="1"/>
  <c r="AE28" i="45"/>
  <c r="B202" i="31"/>
  <c r="C202" i="31"/>
  <c r="C184" i="31"/>
  <c r="D122" i="3"/>
  <c r="B200" i="31"/>
  <c r="AE10" i="45"/>
  <c r="C182" i="31"/>
  <c r="C200" i="31"/>
  <c r="D120" i="3"/>
  <c r="BT65" i="3"/>
  <c r="BT69" i="3"/>
  <c r="BT66" i="3"/>
  <c r="BT62" i="3"/>
  <c r="BT68" i="3"/>
  <c r="BT67" i="3"/>
  <c r="BT64" i="3"/>
  <c r="BT63" i="3"/>
  <c r="BT58" i="3"/>
  <c r="BT60" i="3"/>
  <c r="BT61" i="3"/>
  <c r="BT59" i="3"/>
  <c r="N134" i="3" l="1"/>
  <c r="AF134" i="3" s="1"/>
  <c r="D134" i="3" s="1"/>
  <c r="AG127" i="3"/>
  <c r="AI19" i="45"/>
  <c r="C211" i="31"/>
  <c r="D132" i="3"/>
  <c r="C210" i="31"/>
  <c r="AI7" i="45"/>
  <c r="D131" i="3"/>
  <c r="M133" i="3"/>
  <c r="AA133" i="3" s="1"/>
  <c r="AG122" i="3"/>
  <c r="AG120" i="3"/>
  <c r="N131" i="3"/>
  <c r="AF131" i="3" s="1"/>
  <c r="BU62" i="3"/>
  <c r="BU68" i="3"/>
  <c r="BU67" i="3"/>
  <c r="BU64" i="3"/>
  <c r="BU63" i="3"/>
  <c r="BU65" i="3"/>
  <c r="BU69" i="3"/>
  <c r="BU66" i="3"/>
  <c r="BU58" i="3"/>
  <c r="BU60" i="3"/>
  <c r="BU61" i="3"/>
  <c r="BU59" i="3"/>
  <c r="AG134" i="3" l="1"/>
  <c r="N139" i="3"/>
  <c r="AF139" i="3" s="1"/>
  <c r="C223" i="31"/>
  <c r="B223" i="31"/>
  <c r="C217" i="31"/>
  <c r="AI44" i="45"/>
  <c r="AG132" i="3"/>
  <c r="N138" i="3"/>
  <c r="AF138" i="3" s="1"/>
  <c r="AG131" i="3"/>
  <c r="M138" i="3"/>
  <c r="AA138" i="3" s="1"/>
  <c r="AI31" i="45"/>
  <c r="C212" i="31"/>
  <c r="AI8" i="45"/>
  <c r="C214" i="31"/>
  <c r="C220" i="31"/>
  <c r="B220" i="31"/>
  <c r="BV69" i="3"/>
  <c r="BV67" i="3"/>
  <c r="BV60" i="3"/>
  <c r="BV65" i="3"/>
  <c r="BV62" i="3"/>
  <c r="BV58" i="3"/>
  <c r="BV59" i="3"/>
  <c r="BV68" i="3"/>
  <c r="BV63" i="3"/>
  <c r="BV61" i="3"/>
  <c r="BV64" i="3"/>
  <c r="BV66" i="3"/>
  <c r="AF147" i="3" l="1"/>
  <c r="D139" i="3"/>
  <c r="D138" i="3"/>
  <c r="AA147" i="3"/>
  <c r="H138" i="3"/>
  <c r="AA143" i="3"/>
  <c r="C229" i="31"/>
  <c r="AM38" i="45" a="1"/>
  <c r="AM38" i="45" s="1"/>
  <c r="C228" i="31"/>
  <c r="AM14" i="45"/>
  <c r="C232" i="31"/>
  <c r="B232" i="31"/>
  <c r="C226" i="31"/>
  <c r="AM13" i="45"/>
  <c r="BW63" i="3"/>
  <c r="BX63" i="3" s="1"/>
  <c r="BW66" i="3"/>
  <c r="BX66" i="3" s="1"/>
  <c r="BW62" i="3"/>
  <c r="BX62" i="3" s="1"/>
  <c r="BW65" i="3"/>
  <c r="BX65" i="3" s="1"/>
  <c r="BW69" i="3"/>
  <c r="BW60" i="3"/>
  <c r="BX60" i="3" s="1"/>
  <c r="BW58" i="3"/>
  <c r="BX58" i="3" s="1"/>
  <c r="BW61" i="3"/>
  <c r="BX61" i="3" s="1"/>
  <c r="BW59" i="3"/>
  <c r="BX59" i="3" s="1"/>
  <c r="BW68" i="3"/>
  <c r="BW67" i="3"/>
  <c r="BW64" i="3"/>
  <c r="H147" i="3" l="1"/>
  <c r="AA151" i="3"/>
  <c r="AA150" i="3"/>
  <c r="D147" i="3"/>
  <c r="AG147" i="3" s="1"/>
  <c r="D143" i="3"/>
  <c r="AG143" i="3" s="1"/>
  <c r="AA152" i="3"/>
  <c r="AU26" i="45"/>
  <c r="C241" i="31"/>
  <c r="N147" i="3"/>
  <c r="AG139" i="3"/>
  <c r="N143" i="3"/>
  <c r="M143" i="3"/>
  <c r="M147" i="3"/>
  <c r="AG138" i="3"/>
  <c r="AU25" i="45"/>
  <c r="B247" i="31"/>
  <c r="C247" i="31"/>
  <c r="C240" i="31"/>
  <c r="C236" i="31"/>
  <c r="AQ31" i="45"/>
  <c r="BX69" i="3"/>
  <c r="BX68" i="3"/>
  <c r="BX67" i="3"/>
  <c r="BX64" i="3"/>
  <c r="AG151" i="3" l="1"/>
  <c r="BB23" i="45"/>
  <c r="C251" i="31"/>
  <c r="BA21" i="45"/>
  <c r="AG150" i="3"/>
  <c r="C250" i="31"/>
  <c r="AZ25" i="45"/>
  <c r="C252" i="31"/>
  <c r="AG152" i="3"/>
  <c r="BY60" i="3"/>
  <c r="BY63" i="3"/>
  <c r="BY62" i="3"/>
  <c r="BY67" i="3"/>
  <c r="BY61" i="3"/>
  <c r="BY59" i="3"/>
  <c r="BY69" i="3"/>
  <c r="BY64" i="3"/>
  <c r="BY58" i="3"/>
  <c r="BY68" i="3"/>
  <c r="BY65" i="3"/>
  <c r="BY66" i="3"/>
  <c r="BN28" i="45" l="1"/>
  <c r="BN26" i="45"/>
  <c r="BN22" i="45"/>
  <c r="BN51" i="45"/>
  <c r="BN25" i="45"/>
  <c r="BN12" i="45"/>
  <c r="BN6" i="45"/>
  <c r="BN7" i="45"/>
  <c r="BN17" i="45"/>
  <c r="BN5" i="45"/>
  <c r="BN45" i="45"/>
  <c r="BN24" i="45"/>
  <c r="BN4" i="45"/>
  <c r="BN10" i="45"/>
  <c r="BN47" i="45"/>
  <c r="BN50" i="45"/>
  <c r="BN49" i="45"/>
  <c r="BN18" i="45"/>
  <c r="BN31" i="45"/>
  <c r="BN33" i="45"/>
  <c r="BN30" i="45"/>
  <c r="BN36" i="45"/>
  <c r="BN19" i="45"/>
  <c r="BN32" i="45"/>
  <c r="BN38" i="45"/>
  <c r="BN29" i="45"/>
  <c r="BN15" i="45"/>
  <c r="BN46" i="45"/>
  <c r="BN23" i="45"/>
  <c r="BN21" i="45"/>
  <c r="BN42" i="45"/>
  <c r="BN41" i="45"/>
  <c r="BN39" i="45"/>
  <c r="BN16" i="45"/>
  <c r="BN34" i="45"/>
  <c r="BN9" i="45"/>
  <c r="BN48" i="45"/>
  <c r="BN11" i="45"/>
  <c r="BN35" i="45"/>
  <c r="BN27" i="45"/>
  <c r="BN37" i="45"/>
  <c r="BN14" i="45"/>
  <c r="BN43" i="45"/>
  <c r="BN40" i="45"/>
  <c r="BN44" i="45"/>
  <c r="BN8" i="45"/>
  <c r="BN13" i="45"/>
  <c r="BN20" i="45"/>
  <c r="BO42" i="45"/>
  <c r="BO21" i="45"/>
  <c r="BO37" i="45"/>
  <c r="BO29" i="45"/>
  <c r="BO48" i="45"/>
  <c r="BO18" i="45"/>
  <c r="BO38" i="45"/>
  <c r="BO10" i="45"/>
  <c r="BO39" i="45"/>
  <c r="BO51" i="45"/>
  <c r="BO32" i="45"/>
  <c r="BO45" i="45"/>
  <c r="BO28" i="45"/>
  <c r="BO6" i="45"/>
  <c r="BO17" i="45"/>
  <c r="BO26" i="45"/>
  <c r="BO50" i="45"/>
  <c r="BO7" i="45"/>
  <c r="BO46" i="45"/>
  <c r="BO9" i="45"/>
  <c r="BO30" i="45"/>
  <c r="BO22" i="45"/>
  <c r="BO36" i="45"/>
  <c r="BO27" i="45"/>
  <c r="BO49" i="45"/>
  <c r="BO41" i="45"/>
  <c r="BO23" i="45"/>
  <c r="BO33" i="45"/>
  <c r="BO16" i="45"/>
  <c r="BO25" i="45"/>
  <c r="BO31" i="45"/>
  <c r="BO4" i="45"/>
  <c r="BO47" i="45"/>
  <c r="BO15" i="45"/>
  <c r="BO34" i="45"/>
  <c r="BO19" i="45"/>
  <c r="BO5" i="45"/>
  <c r="BO12" i="45"/>
  <c r="BO44" i="45"/>
  <c r="BO40" i="45"/>
  <c r="BO11" i="45"/>
  <c r="BO35" i="45"/>
  <c r="BO8" i="45"/>
  <c r="BO14" i="45"/>
  <c r="BO13" i="45"/>
  <c r="BO43" i="45"/>
  <c r="BO20" i="45"/>
  <c r="BO24" i="45"/>
  <c r="BM24" i="45"/>
  <c r="BM9" i="45"/>
  <c r="BM32" i="45"/>
  <c r="BM6" i="45"/>
  <c r="BM36" i="45"/>
  <c r="BM34" i="45"/>
  <c r="BM33" i="45"/>
  <c r="BM28" i="45"/>
  <c r="BM50" i="45"/>
  <c r="BM41" i="45"/>
  <c r="BM48" i="45"/>
  <c r="BM15" i="45"/>
  <c r="BM7" i="45"/>
  <c r="BM22" i="45"/>
  <c r="BM47" i="45"/>
  <c r="BM30" i="45"/>
  <c r="BM39" i="45"/>
  <c r="BM38" i="45"/>
  <c r="BM25" i="45"/>
  <c r="BM51" i="45"/>
  <c r="BM49" i="45"/>
  <c r="BM26" i="45"/>
  <c r="BM23" i="45"/>
  <c r="BM5" i="45"/>
  <c r="BM16" i="45"/>
  <c r="BM31" i="45"/>
  <c r="BM46" i="45"/>
  <c r="BM17" i="45"/>
  <c r="BM12" i="45"/>
  <c r="BM44" i="45"/>
  <c r="BM4" i="45"/>
  <c r="BM37" i="45"/>
  <c r="BM18" i="45"/>
  <c r="BM19" i="45"/>
  <c r="BM21" i="45"/>
  <c r="BM10" i="45"/>
  <c r="BM29" i="45"/>
  <c r="BM20" i="45"/>
  <c r="BM27" i="45"/>
  <c r="BM13" i="45"/>
  <c r="BM35" i="45"/>
  <c r="BM43" i="45"/>
  <c r="BM11" i="45"/>
  <c r="BM40" i="45"/>
  <c r="BM8" i="45"/>
  <c r="BM14" i="45"/>
  <c r="BM42" i="45"/>
  <c r="BM45" i="45"/>
  <c r="BZ66" i="3"/>
  <c r="CA66" i="3" s="1"/>
  <c r="BZ68" i="3"/>
  <c r="CA68" i="3" s="1"/>
  <c r="BZ64" i="3"/>
  <c r="BZ69" i="3"/>
  <c r="CA69" i="3" s="1"/>
  <c r="BZ63" i="3"/>
  <c r="BZ58" i="3"/>
  <c r="CE58" i="3" s="1"/>
  <c r="BZ60" i="3"/>
  <c r="BZ67" i="3"/>
  <c r="CA67" i="3" s="1"/>
  <c r="BZ65" i="3"/>
  <c r="CA65" i="3" s="1"/>
  <c r="BZ61" i="3"/>
  <c r="BZ59" i="3"/>
  <c r="BZ62" i="3"/>
  <c r="CE60" i="3" l="1"/>
  <c r="CA60" i="3"/>
  <c r="CA63" i="3"/>
  <c r="CA58" i="3"/>
  <c r="CA64" i="3"/>
  <c r="CA61" i="3"/>
  <c r="CE61" i="3"/>
  <c r="CA59" i="3"/>
  <c r="CE59" i="3"/>
  <c r="CA62" i="3"/>
  <c r="CE62" i="3"/>
  <c r="CB66" i="3" l="1"/>
  <c r="BM66" i="3" s="1"/>
  <c r="CB59" i="3"/>
  <c r="BM59" i="3" s="1"/>
  <c r="CB68" i="3"/>
  <c r="BM68" i="3" s="1"/>
  <c r="CB69" i="3"/>
  <c r="BM69" i="3" s="1"/>
  <c r="CB64" i="3"/>
  <c r="BM64" i="3" s="1"/>
  <c r="CB67" i="3"/>
  <c r="BM67" i="3" s="1"/>
  <c r="CB65" i="3"/>
  <c r="BM65" i="3" s="1"/>
  <c r="CB62" i="3"/>
  <c r="BM62" i="3" s="1"/>
  <c r="CB61" i="3"/>
  <c r="BM61" i="3" s="1"/>
  <c r="CB60" i="3"/>
  <c r="BM60" i="3" s="1"/>
  <c r="CB63" i="3"/>
  <c r="BM63" i="3" s="1"/>
  <c r="CB58" i="3"/>
  <c r="BM58" i="3" s="1"/>
  <c r="AV109" i="3" l="1"/>
  <c r="DQ68" i="3"/>
  <c r="DJ68" i="3" s="1"/>
  <c r="DQ64" i="3"/>
  <c r="DJ64" i="3" s="1"/>
  <c r="AV112" i="3"/>
  <c r="DQ67" i="3"/>
  <c r="DJ67" i="3" s="1"/>
  <c r="AV110" i="3"/>
  <c r="DQ66" i="3"/>
  <c r="DJ66" i="3" s="1"/>
  <c r="DQ69" i="3"/>
  <c r="DJ69" i="3" s="1"/>
  <c r="AV108" i="3"/>
  <c r="DQ65" i="3"/>
  <c r="DJ65" i="3" s="1"/>
  <c r="AV113" i="3"/>
  <c r="AV111" i="3"/>
  <c r="DQ59" i="3"/>
  <c r="DJ59" i="3" s="1"/>
  <c r="DQ63" i="3"/>
  <c r="DJ63" i="3" s="1"/>
  <c r="AV106" i="3"/>
  <c r="DQ60" i="3"/>
  <c r="DJ60" i="3" s="1"/>
  <c r="AV105" i="3"/>
  <c r="DQ58" i="3"/>
  <c r="DJ58" i="3" s="1"/>
  <c r="AV102" i="3"/>
  <c r="AV103" i="3"/>
  <c r="DQ62" i="3"/>
  <c r="DJ62" i="3" s="1"/>
  <c r="AV104" i="3"/>
  <c r="DQ61" i="3"/>
  <c r="DJ61" i="3" s="1"/>
  <c r="AV107" i="3"/>
  <c r="DL69" i="3" l="1"/>
  <c r="DL64" i="3"/>
  <c r="DL67" i="3"/>
  <c r="DL66" i="3"/>
  <c r="DL65" i="3"/>
  <c r="DL59" i="3"/>
  <c r="DL60" i="3"/>
  <c r="DL58" i="3"/>
  <c r="DL62" i="3"/>
  <c r="DL63" i="3"/>
  <c r="DL68" i="3"/>
  <c r="DL61" i="3"/>
  <c r="CD68" i="3"/>
  <c r="CD60" i="3"/>
  <c r="CD58" i="3"/>
  <c r="CD64" i="3"/>
  <c r="CD66" i="3"/>
  <c r="CD69" i="3"/>
  <c r="CD67" i="3"/>
  <c r="CD65" i="3"/>
  <c r="CD62" i="3"/>
  <c r="CD59" i="3"/>
  <c r="CD61" i="3"/>
  <c r="CD63" i="3"/>
  <c r="AU105" i="3" l="1"/>
  <c r="DM61" i="3"/>
  <c r="DN61" i="3" a="1"/>
  <c r="DN61" i="3" s="1"/>
  <c r="AU113" i="3"/>
  <c r="DN69" i="3" a="1"/>
  <c r="DN69" i="3" s="1"/>
  <c r="DM69" i="3"/>
  <c r="CE63" i="3"/>
  <c r="AU108" i="3"/>
  <c r="DN64" i="3" a="1"/>
  <c r="DN64" i="3" s="1"/>
  <c r="DM64" i="3"/>
  <c r="AU111" i="3"/>
  <c r="DN67" i="3" a="1"/>
  <c r="DM67" i="3"/>
  <c r="AU110" i="3"/>
  <c r="DM66" i="3"/>
  <c r="DN66" i="3" a="1"/>
  <c r="DN66" i="3" s="1"/>
  <c r="AU109" i="3"/>
  <c r="DN65" i="3" a="1"/>
  <c r="DN65" i="3" s="1"/>
  <c r="DM65" i="3"/>
  <c r="AU103" i="3"/>
  <c r="DM59" i="3"/>
  <c r="DN59" i="3" a="1"/>
  <c r="DN59" i="3" s="1"/>
  <c r="AU104" i="3"/>
  <c r="DN60" i="3" a="1"/>
  <c r="DN60" i="3" s="1"/>
  <c r="DM60" i="3"/>
  <c r="AU102" i="3"/>
  <c r="DM58" i="3"/>
  <c r="DN58" i="3" a="1"/>
  <c r="DN58" i="3" s="1"/>
  <c r="AU106" i="3"/>
  <c r="DM62" i="3"/>
  <c r="DN62" i="3" a="1"/>
  <c r="AU107" i="3"/>
  <c r="DM63" i="3"/>
  <c r="DN63" i="3" a="1"/>
  <c r="AU112" i="3"/>
  <c r="DN68" i="3" a="1"/>
  <c r="DM68" i="3"/>
  <c r="CE66" i="3"/>
  <c r="CE64" i="3"/>
  <c r="CE68" i="3"/>
  <c r="CE69" i="3"/>
  <c r="CE67" i="3"/>
  <c r="CE65" i="3"/>
  <c r="DN67" i="3" l="1"/>
  <c r="DN63" i="3"/>
  <c r="AU101" i="3"/>
  <c r="AV100" i="3" s="1"/>
  <c r="DN68" i="3"/>
  <c r="DN62" i="3"/>
  <c r="CF69" i="3"/>
  <c r="BN69" i="3" s="1"/>
  <c r="CF68" i="3"/>
  <c r="BN68" i="3" s="1"/>
  <c r="CF65" i="3"/>
  <c r="BN65" i="3" s="1"/>
  <c r="CF67" i="3"/>
  <c r="BN67" i="3" s="1"/>
  <c r="CF58" i="3"/>
  <c r="BN58" i="3" s="1"/>
  <c r="CF63" i="3"/>
  <c r="BN63" i="3" s="1"/>
  <c r="CF59" i="3"/>
  <c r="BN59" i="3" s="1"/>
  <c r="CF60" i="3"/>
  <c r="BN60" i="3" s="1"/>
  <c r="CF62" i="3"/>
  <c r="BN62" i="3" s="1"/>
  <c r="CF61" i="3"/>
  <c r="BN61" i="3" s="1"/>
  <c r="CF66" i="3"/>
  <c r="BN66" i="3" s="1"/>
  <c r="CF64" i="3"/>
  <c r="BN64" i="3" s="1"/>
  <c r="AL102" i="3" l="1"/>
  <c r="AL106" i="3"/>
  <c r="AL104" i="3"/>
  <c r="AL107" i="3"/>
  <c r="AL103" i="3"/>
  <c r="AL105" i="3"/>
  <c r="AL113" i="3"/>
  <c r="AL110" i="3"/>
  <c r="AL112" i="3"/>
  <c r="AL111" i="3"/>
  <c r="AL109" i="3"/>
  <c r="AL108" i="3"/>
  <c r="AS102" i="3" l="1"/>
  <c r="AN102" i="3"/>
  <c r="BF103" i="3"/>
  <c r="AT102" i="3"/>
  <c r="AR102" i="3"/>
  <c r="AO102" i="3"/>
  <c r="AQ102" i="3"/>
  <c r="AP102" i="3"/>
  <c r="AM102" i="3"/>
  <c r="AK102" i="3" a="1"/>
  <c r="AK102" i="3" s="1"/>
  <c r="AT106" i="3"/>
  <c r="AN106" i="3"/>
  <c r="AK106" i="3" a="1"/>
  <c r="AK106" i="3" s="1"/>
  <c r="AR106" i="3"/>
  <c r="BF107" i="3"/>
  <c r="AP106" i="3"/>
  <c r="AS106" i="3"/>
  <c r="AM106" i="3"/>
  <c r="AQ106" i="3"/>
  <c r="AO106" i="3"/>
  <c r="AK104" i="3" a="1"/>
  <c r="AK104" i="3" s="1"/>
  <c r="AS104" i="3"/>
  <c r="AP104" i="3"/>
  <c r="BF105" i="3"/>
  <c r="AT104" i="3"/>
  <c r="AQ104" i="3"/>
  <c r="AN104" i="3"/>
  <c r="AR104" i="3"/>
  <c r="AM104" i="3"/>
  <c r="AO104" i="3"/>
  <c r="AK107" i="3" a="1"/>
  <c r="AK107" i="3" s="1"/>
  <c r="AN107" i="3"/>
  <c r="AM107" i="3"/>
  <c r="AQ107" i="3"/>
  <c r="AT107" i="3"/>
  <c r="AP107" i="3"/>
  <c r="BF108" i="3"/>
  <c r="AS107" i="3"/>
  <c r="AR107" i="3"/>
  <c r="AO107" i="3"/>
  <c r="BF104" i="3"/>
  <c r="AO103" i="3"/>
  <c r="AR103" i="3"/>
  <c r="AT103" i="3"/>
  <c r="AM103" i="3"/>
  <c r="AQ103" i="3"/>
  <c r="AS103" i="3"/>
  <c r="AP103" i="3"/>
  <c r="AN103" i="3"/>
  <c r="AK103" i="3" a="1"/>
  <c r="AK103" i="3" s="1"/>
  <c r="AK105" i="3" a="1"/>
  <c r="AK105" i="3" s="1"/>
  <c r="AM105" i="3"/>
  <c r="AR105" i="3"/>
  <c r="AO105" i="3"/>
  <c r="AN105" i="3"/>
  <c r="AS105" i="3"/>
  <c r="BF106" i="3"/>
  <c r="AP105" i="3"/>
  <c r="AQ105" i="3"/>
  <c r="AT105" i="3"/>
  <c r="AO113" i="3"/>
  <c r="AQ113" i="3"/>
  <c r="AN113" i="3"/>
  <c r="AK113" i="3" a="1"/>
  <c r="AK113" i="3" s="1"/>
  <c r="AR113" i="3"/>
  <c r="AT113" i="3"/>
  <c r="AP113" i="3"/>
  <c r="AM113" i="3"/>
  <c r="AS113" i="3"/>
  <c r="AK110" i="3" a="1"/>
  <c r="AK110" i="3" s="1"/>
  <c r="AM110" i="3"/>
  <c r="AP110" i="3"/>
  <c r="AT110" i="3"/>
  <c r="AN110" i="3"/>
  <c r="AQ110" i="3"/>
  <c r="AS110" i="3"/>
  <c r="AR110" i="3"/>
  <c r="AO110" i="3"/>
  <c r="AS112" i="3"/>
  <c r="AN112" i="3"/>
  <c r="AM112" i="3"/>
  <c r="AR112" i="3"/>
  <c r="AP112" i="3"/>
  <c r="AT112" i="3"/>
  <c r="AQ112" i="3"/>
  <c r="AO112" i="3"/>
  <c r="AK112" i="3" a="1"/>
  <c r="AK112" i="3" s="1"/>
  <c r="AQ111" i="3"/>
  <c r="AK111" i="3" a="1"/>
  <c r="AK111" i="3" s="1"/>
  <c r="AO111" i="3"/>
  <c r="AT111" i="3"/>
  <c r="AN111" i="3"/>
  <c r="AP111" i="3"/>
  <c r="AM111" i="3"/>
  <c r="AS111" i="3"/>
  <c r="AR111" i="3"/>
  <c r="AR109" i="3"/>
  <c r="AS109" i="3"/>
  <c r="AN109" i="3"/>
  <c r="BF110" i="3"/>
  <c r="AO109" i="3"/>
  <c r="AQ109" i="3"/>
  <c r="AP109" i="3"/>
  <c r="AT109" i="3"/>
  <c r="AM109" i="3"/>
  <c r="AK109" i="3" a="1"/>
  <c r="AK109" i="3" s="1"/>
  <c r="AQ108" i="3"/>
  <c r="AT108" i="3"/>
  <c r="AS108" i="3"/>
  <c r="AM108" i="3"/>
  <c r="AP108" i="3"/>
  <c r="AK108" i="3" a="1"/>
  <c r="AK108" i="3" s="1"/>
  <c r="BF109" i="3"/>
  <c r="AR108" i="3"/>
  <c r="AO108" i="3"/>
  <c r="AN108" i="3"/>
  <c r="BG108" i="3" l="1"/>
  <c r="BG103" i="3"/>
  <c r="BG109" i="3"/>
  <c r="BG105" i="3"/>
  <c r="BG107" i="3"/>
  <c r="BG104" i="3"/>
  <c r="BG106" i="3"/>
  <c r="BG110" i="3"/>
  <c r="D110" i="3"/>
  <c r="D107" i="3"/>
  <c r="BJ108" i="3" l="1"/>
  <c r="BJ104" i="3"/>
  <c r="BJ109" i="3"/>
  <c r="BJ106" i="3"/>
  <c r="BJ107" i="3"/>
  <c r="BJ103" i="3"/>
  <c r="BJ110" i="3"/>
  <c r="BJ105" i="3"/>
  <c r="AG110" i="3"/>
  <c r="M125" i="3"/>
  <c r="AA125" i="3" s="1"/>
  <c r="AG107" i="3"/>
  <c r="M123" i="3"/>
  <c r="AA123" i="3" s="1"/>
  <c r="BI112" i="3" l="1"/>
  <c r="D125" i="3"/>
  <c r="C187" i="31"/>
  <c r="B205" i="31"/>
  <c r="C205" i="31"/>
  <c r="AE22" i="45"/>
  <c r="D123" i="3"/>
  <c r="C185" i="31"/>
  <c r="AE34" i="45"/>
  <c r="C203" i="31"/>
  <c r="B203" i="31"/>
  <c r="B353" i="40" l="1"/>
  <c r="B315" i="40"/>
  <c r="B71" i="40"/>
  <c r="AZ101" i="3"/>
  <c r="B231" i="40"/>
  <c r="B445" i="40"/>
  <c r="B204" i="40"/>
  <c r="B476" i="40"/>
  <c r="B460" i="40"/>
  <c r="B258" i="40"/>
  <c r="B328" i="40"/>
  <c r="B148" i="40"/>
  <c r="B446" i="40"/>
  <c r="B72" i="40"/>
  <c r="B206" i="40"/>
  <c r="B366" i="40"/>
  <c r="B341" i="40"/>
  <c r="B208" i="40"/>
  <c r="B297" i="40"/>
  <c r="B330" i="40"/>
  <c r="B67" i="40"/>
  <c r="B324" i="40"/>
  <c r="B234" i="40"/>
  <c r="B160" i="40"/>
  <c r="B27" i="40"/>
  <c r="B131" i="40"/>
  <c r="B428" i="40"/>
  <c r="B137" i="40"/>
  <c r="B424" i="40"/>
  <c r="B92" i="40"/>
  <c r="B256" i="40"/>
  <c r="B149" i="40"/>
  <c r="B332" i="40"/>
  <c r="B389" i="40"/>
  <c r="B251" i="40"/>
  <c r="B296" i="40"/>
  <c r="B356" i="40"/>
  <c r="B354" i="40"/>
  <c r="B122" i="40"/>
  <c r="B443" i="40"/>
  <c r="B83" i="40"/>
  <c r="B320" i="40"/>
  <c r="B185" i="40"/>
  <c r="B307" i="40"/>
  <c r="B419" i="40"/>
  <c r="B302" i="40"/>
  <c r="B84" i="40"/>
  <c r="B179" i="40"/>
  <c r="B200" i="40"/>
  <c r="B37" i="40"/>
  <c r="B175" i="40"/>
  <c r="B260" i="40"/>
  <c r="B34" i="40"/>
  <c r="B279" i="40"/>
  <c r="B87" i="40"/>
  <c r="B124" i="40"/>
  <c r="B21" i="40"/>
  <c r="B385" i="40"/>
  <c r="B485" i="40"/>
  <c r="B466" i="40"/>
  <c r="B484" i="40"/>
  <c r="B90" i="40"/>
  <c r="B164" i="40"/>
  <c r="B379" i="40"/>
  <c r="B362" i="40"/>
  <c r="B205" i="40"/>
  <c r="B350" i="40"/>
  <c r="B415" i="40"/>
  <c r="B400" i="40"/>
  <c r="B150" i="40"/>
  <c r="B462" i="40"/>
  <c r="B273" i="40"/>
  <c r="B337" i="40"/>
  <c r="B397" i="40"/>
  <c r="B127" i="40"/>
  <c r="B304" i="40"/>
  <c r="B30" i="40"/>
  <c r="B468" i="40"/>
  <c r="B108" i="40"/>
  <c r="B178" i="40"/>
  <c r="B156" i="40"/>
  <c r="B69" i="40"/>
  <c r="B47" i="40"/>
  <c r="B107" i="40"/>
  <c r="B161" i="40"/>
  <c r="B93" i="40"/>
  <c r="B190" i="40"/>
  <c r="B255" i="40"/>
  <c r="B196" i="40"/>
  <c r="B301" i="40"/>
  <c r="B357" i="40"/>
  <c r="B280" i="40"/>
  <c r="B298" i="40"/>
  <c r="B236" i="40"/>
  <c r="B35" i="40"/>
  <c r="B218" i="40"/>
  <c r="B221" i="40"/>
  <c r="B201" i="40"/>
  <c r="B264" i="40"/>
  <c r="B79" i="40"/>
  <c r="B430" i="40"/>
  <c r="B70" i="40"/>
  <c r="B266" i="40"/>
  <c r="B121" i="40"/>
  <c r="B392" i="40"/>
  <c r="B365" i="40"/>
  <c r="B413" i="40"/>
  <c r="B97" i="40"/>
  <c r="B344" i="40"/>
  <c r="B448" i="40"/>
  <c r="B99" i="40"/>
  <c r="B402" i="40"/>
  <c r="B194" i="40"/>
  <c r="B177" i="40"/>
  <c r="B250" i="40"/>
  <c r="B259" i="40"/>
  <c r="B158" i="40"/>
  <c r="B342" i="40"/>
  <c r="B195" i="40"/>
  <c r="B308" i="40"/>
  <c r="B474" i="40"/>
  <c r="B253" i="40"/>
  <c r="B77" i="40"/>
  <c r="B395" i="40"/>
  <c r="B449" i="40"/>
  <c r="B96" i="40"/>
  <c r="B212" i="40"/>
  <c r="B81" i="40"/>
  <c r="B321" i="40"/>
  <c r="B339" i="40"/>
  <c r="B312" i="40"/>
  <c r="B89" i="40"/>
  <c r="B249" i="40"/>
  <c r="B18" i="40"/>
  <c r="B139" i="40"/>
  <c r="B477" i="40"/>
  <c r="B176" i="40"/>
  <c r="B410" i="40"/>
  <c r="B361" i="40"/>
  <c r="B480" i="40"/>
  <c r="B154" i="40"/>
  <c r="B242" i="40"/>
  <c r="B115" i="40"/>
  <c r="B310" i="40"/>
  <c r="B391" i="40"/>
  <c r="B459" i="40"/>
  <c r="B94" i="40"/>
  <c r="B126" i="40"/>
  <c r="B61" i="40"/>
  <c r="B463" i="40"/>
  <c r="B270" i="40"/>
  <c r="B439" i="40"/>
  <c r="B132" i="40"/>
  <c r="B24" i="40"/>
  <c r="B58" i="40"/>
  <c r="B224" i="40"/>
  <c r="B238" i="40"/>
  <c r="B52" i="40"/>
  <c r="B142" i="40"/>
  <c r="B182" i="40"/>
  <c r="B358" i="40"/>
  <c r="B145" i="40"/>
  <c r="B435" i="40"/>
  <c r="B217" i="40"/>
  <c r="B31" i="40"/>
  <c r="B388" i="40"/>
  <c r="B86" i="40"/>
  <c r="B119" i="40"/>
  <c r="B133" i="40"/>
  <c r="B82" i="40"/>
  <c r="B102" i="40"/>
  <c r="B338" i="40"/>
  <c r="B456" i="40"/>
  <c r="B50" i="40"/>
  <c r="B372" i="40"/>
  <c r="B11" i="40"/>
  <c r="B412" i="40"/>
  <c r="B245" i="40"/>
  <c r="B130" i="40"/>
  <c r="B210" i="40"/>
  <c r="B193" i="40"/>
  <c r="B17" i="40"/>
  <c r="B363" i="40"/>
  <c r="B28" i="40"/>
  <c r="B63" i="40"/>
  <c r="B408" i="40"/>
  <c r="B351" i="40"/>
  <c r="B128" i="40"/>
  <c r="B371" i="40"/>
  <c r="B223" i="40"/>
  <c r="B41" i="40"/>
  <c r="B352" i="40"/>
  <c r="B138" i="40"/>
  <c r="B343" i="40"/>
  <c r="B436" i="40"/>
  <c r="B331" i="40"/>
  <c r="B104" i="40"/>
  <c r="B141" i="40"/>
  <c r="B467" i="40"/>
  <c r="B78" i="40"/>
  <c r="B216" i="40"/>
  <c r="B152" i="40"/>
  <c r="B183" i="40"/>
  <c r="B348" i="40"/>
  <c r="B157" i="40"/>
  <c r="B300" i="40"/>
  <c r="B13" i="40"/>
  <c r="B294" i="40"/>
  <c r="B399" i="40"/>
  <c r="B15" i="40"/>
  <c r="B60" i="40"/>
  <c r="B261" i="40"/>
  <c r="B38" i="40"/>
  <c r="B225" i="40"/>
  <c r="B95" i="40"/>
  <c r="B197" i="40"/>
  <c r="B336" i="40"/>
  <c r="B62" i="40"/>
  <c r="B155" i="40"/>
  <c r="B417" i="40"/>
  <c r="B235" i="40"/>
  <c r="B173" i="40"/>
  <c r="B284" i="40"/>
  <c r="B169" i="40"/>
  <c r="B163" i="40"/>
  <c r="B265" i="40"/>
  <c r="B309" i="40"/>
  <c r="B451" i="40"/>
  <c r="B458" i="40"/>
  <c r="B171" i="40"/>
  <c r="B387" i="40"/>
  <c r="B394" i="40"/>
  <c r="B496" i="40"/>
  <c r="B26" i="40"/>
  <c r="B85" i="40"/>
  <c r="B473" i="40"/>
  <c r="B437" i="40"/>
  <c r="B116" i="40"/>
  <c r="B16" i="40"/>
  <c r="B305" i="40"/>
  <c r="B237" i="40"/>
  <c r="B219" i="40"/>
  <c r="B489" i="40"/>
  <c r="B409" i="40"/>
  <c r="B8" i="40"/>
  <c r="B329" i="40"/>
  <c r="B230" i="40"/>
  <c r="B364" i="40"/>
  <c r="B192" i="40"/>
  <c r="B289" i="40"/>
  <c r="B22" i="40"/>
  <c r="B492" i="40"/>
  <c r="B282" i="40"/>
  <c r="B239" i="40"/>
  <c r="B475" i="40"/>
  <c r="B48" i="40"/>
  <c r="B232" i="40"/>
  <c r="B431" i="40"/>
  <c r="B319" i="40"/>
  <c r="B377" i="40"/>
  <c r="B147" i="40"/>
  <c r="B488" i="40"/>
  <c r="B271" i="40"/>
  <c r="B74" i="40"/>
  <c r="B44" i="40"/>
  <c r="B291" i="40"/>
  <c r="B125" i="40"/>
  <c r="B134" i="40"/>
  <c r="B292" i="40"/>
  <c r="B49" i="40"/>
  <c r="B19" i="40"/>
  <c r="B25" i="40"/>
  <c r="B376" i="40"/>
  <c r="B186" i="40"/>
  <c r="B215" i="40"/>
  <c r="B378" i="40"/>
  <c r="B422" i="40"/>
  <c r="B317" i="40"/>
  <c r="B268" i="40"/>
  <c r="B333" i="40"/>
  <c r="B393" i="40"/>
  <c r="B45" i="40"/>
  <c r="B227" i="40"/>
  <c r="B20" i="40"/>
  <c r="B360" i="40"/>
  <c r="B229" i="40"/>
  <c r="B322" i="40"/>
  <c r="B80" i="40"/>
  <c r="B103" i="40"/>
  <c r="B228" i="40"/>
  <c r="B76" i="40"/>
  <c r="B494" i="40"/>
  <c r="B369" i="40"/>
  <c r="B65" i="40"/>
  <c r="B288" i="40"/>
  <c r="B88" i="40"/>
  <c r="B202" i="40"/>
  <c r="B267" i="40"/>
  <c r="B55" i="40"/>
  <c r="B233" i="40"/>
  <c r="B170" i="40"/>
  <c r="B136" i="40"/>
  <c r="B433" i="40"/>
  <c r="B98" i="40"/>
  <c r="B68" i="40"/>
  <c r="B10" i="40"/>
  <c r="B478" i="40"/>
  <c r="B359" i="40"/>
  <c r="B9" i="40"/>
  <c r="B427" i="40"/>
  <c r="B283" i="40"/>
  <c r="B373" i="40"/>
  <c r="B346" i="40"/>
  <c r="B57" i="40"/>
  <c r="B248" i="40"/>
  <c r="B53" i="40"/>
  <c r="B411" i="40"/>
  <c r="B368" i="40"/>
  <c r="B146" i="40"/>
  <c r="B455" i="40"/>
  <c r="B277" i="40"/>
  <c r="B106" i="40"/>
  <c r="B199" i="40"/>
  <c r="B429" i="40"/>
  <c r="B4" i="40"/>
  <c r="B159" i="40"/>
  <c r="B295" i="40"/>
  <c r="B117" i="40"/>
  <c r="B335" i="40"/>
  <c r="B452" i="40"/>
  <c r="B51" i="40"/>
  <c r="B442" i="40"/>
  <c r="B313" i="40"/>
  <c r="B482" i="40"/>
  <c r="B241" i="40"/>
  <c r="B272" i="40"/>
  <c r="B384" i="40"/>
  <c r="B198" i="40"/>
  <c r="B461" i="40"/>
  <c r="B209" i="40"/>
  <c r="B286" i="40"/>
  <c r="B2" i="40"/>
  <c r="B454" i="40"/>
  <c r="B470" i="40"/>
  <c r="B167" i="40"/>
  <c r="B406" i="40"/>
  <c r="B407" i="40"/>
  <c r="B396" i="40"/>
  <c r="B349" i="40"/>
  <c r="B189" i="40"/>
  <c r="B275" i="40"/>
  <c r="B303" i="40"/>
  <c r="B440" i="40"/>
  <c r="B3" i="40"/>
  <c r="B401" i="40"/>
  <c r="B390" i="40"/>
  <c r="B269" i="40"/>
  <c r="B405" i="40"/>
  <c r="B355" i="40"/>
  <c r="B290" i="40"/>
  <c r="B471" i="40"/>
  <c r="B105" i="40"/>
  <c r="B314" i="40"/>
  <c r="B453" i="40"/>
  <c r="B403" i="40"/>
  <c r="B367" i="40"/>
  <c r="B375" i="40"/>
  <c r="B226" i="40"/>
  <c r="B340" i="40"/>
  <c r="B274" i="40"/>
  <c r="B165" i="40"/>
  <c r="B244" i="40"/>
  <c r="B75" i="40"/>
  <c r="B426" i="40"/>
  <c r="B276" i="40"/>
  <c r="B323" i="40"/>
  <c r="B383" i="40"/>
  <c r="B386" i="40"/>
  <c r="B181" i="40"/>
  <c r="B7" i="40"/>
  <c r="B438" i="40"/>
  <c r="B381" i="40"/>
  <c r="B64" i="40"/>
  <c r="B188" i="40"/>
  <c r="B495" i="40"/>
  <c r="B487" i="40"/>
  <c r="B257" i="40"/>
  <c r="B299" i="40"/>
  <c r="B418" i="40"/>
  <c r="B23" i="40"/>
  <c r="B211" i="40"/>
  <c r="B153" i="40"/>
  <c r="B5" i="40"/>
  <c r="B40" i="40"/>
  <c r="B444" i="40"/>
  <c r="B481" i="40"/>
  <c r="B281" i="40"/>
  <c r="B101" i="40"/>
  <c r="B214" i="40"/>
  <c r="B382" i="40"/>
  <c r="B293" i="40"/>
  <c r="B327" i="40"/>
  <c r="B370" i="40"/>
  <c r="B479" i="40"/>
  <c r="B416" i="40"/>
  <c r="B54" i="40"/>
  <c r="B56" i="40"/>
  <c r="B172" i="40"/>
  <c r="B42" i="40"/>
  <c r="B414" i="40"/>
  <c r="B112" i="40"/>
  <c r="B109" i="40"/>
  <c r="B491" i="40"/>
  <c r="B311" i="40"/>
  <c r="B326" i="40"/>
  <c r="B432" i="40"/>
  <c r="B168" i="40"/>
  <c r="B441" i="40"/>
  <c r="B207" i="40"/>
  <c r="B243" i="40"/>
  <c r="B174" i="40"/>
  <c r="B184" i="40"/>
  <c r="B447" i="40"/>
  <c r="B222" i="40"/>
  <c r="B469" i="40"/>
  <c r="B187" i="40"/>
  <c r="B278" i="40"/>
  <c r="B111" i="40"/>
  <c r="B73" i="40"/>
  <c r="B240" i="40"/>
  <c r="B39" i="40"/>
  <c r="B166" i="40"/>
  <c r="B325" i="40"/>
  <c r="B6" i="40"/>
  <c r="B66" i="40"/>
  <c r="B140" i="40"/>
  <c r="B254" i="40"/>
  <c r="B306" i="40"/>
  <c r="B490" i="40"/>
  <c r="B118" i="40"/>
  <c r="B213" i="40"/>
  <c r="B129" i="40"/>
  <c r="B465" i="40"/>
  <c r="B123" i="40"/>
  <c r="B162" i="40"/>
  <c r="B425" i="40"/>
  <c r="B191" i="40"/>
  <c r="B59" i="40"/>
  <c r="B316" i="40"/>
  <c r="B91" i="40"/>
  <c r="B12" i="40"/>
  <c r="B398" i="40"/>
  <c r="B114" i="40"/>
  <c r="B247" i="40"/>
  <c r="B113" i="40"/>
  <c r="B220" i="40"/>
  <c r="B423" i="40"/>
  <c r="B450" i="40"/>
  <c r="B404" i="40"/>
  <c r="B14" i="40"/>
  <c r="B33" i="40"/>
  <c r="B483" i="40"/>
  <c r="B262" i="40"/>
  <c r="B347" i="40"/>
  <c r="B318" i="40"/>
  <c r="B374" i="40"/>
  <c r="B493" i="40"/>
  <c r="B135" i="40"/>
  <c r="B46" i="40"/>
  <c r="B486" i="40"/>
  <c r="B263" i="40"/>
  <c r="B32" i="40"/>
  <c r="B120" i="40"/>
  <c r="B252" i="40"/>
  <c r="B285" i="40"/>
  <c r="B345" i="40"/>
  <c r="B434" i="40"/>
  <c r="B180" i="40"/>
  <c r="B110" i="40"/>
  <c r="B36" i="40"/>
  <c r="B29" i="40"/>
  <c r="B380" i="40"/>
  <c r="B420" i="40"/>
  <c r="B100" i="40"/>
  <c r="B334" i="40"/>
  <c r="B144" i="40"/>
  <c r="B472" i="40"/>
  <c r="B464" i="40"/>
  <c r="B287" i="40"/>
  <c r="B421" i="40"/>
  <c r="B457" i="40"/>
  <c r="B143" i="40"/>
  <c r="B43" i="40"/>
  <c r="B246" i="40"/>
  <c r="B151" i="40"/>
  <c r="B203" i="40"/>
  <c r="N132" i="3"/>
  <c r="AF132" i="3" s="1"/>
  <c r="AG125" i="3"/>
  <c r="N133" i="3"/>
  <c r="AF133" i="3" s="1"/>
  <c r="D133" i="3" s="1"/>
  <c r="AG123" i="3"/>
  <c r="AG133" i="3" l="1"/>
  <c r="M139" i="3"/>
  <c r="AA139" i="3" s="1"/>
  <c r="N113" i="3"/>
  <c r="AF113" i="3" s="1"/>
  <c r="N102" i="3"/>
  <c r="AF103" i="3" s="1"/>
  <c r="N108" i="3"/>
  <c r="AF108" i="3" s="1"/>
  <c r="N105" i="3"/>
  <c r="AF106" i="3" s="1"/>
  <c r="N115" i="3"/>
  <c r="AF116" i="3" s="1"/>
  <c r="N110" i="3"/>
  <c r="AF109" i="3" s="1"/>
  <c r="N107" i="3"/>
  <c r="AF107" i="3" s="1"/>
  <c r="N109" i="3"/>
  <c r="AF110" i="3" s="1"/>
  <c r="B497" i="40"/>
  <c r="BG124" i="3" s="1"/>
  <c r="AZ110" i="3" s="1"/>
  <c r="BG120" i="3"/>
  <c r="AZ106" i="3" s="1"/>
  <c r="BG117" i="3"/>
  <c r="AZ103" i="3" s="1"/>
  <c r="BG119" i="3"/>
  <c r="AZ105" i="3" s="1"/>
  <c r="BG123" i="3"/>
  <c r="AZ109" i="3" s="1"/>
  <c r="BG122" i="3"/>
  <c r="AZ108" i="3" s="1"/>
  <c r="BG118" i="3"/>
  <c r="AZ104" i="3" s="1"/>
  <c r="BG121" i="3"/>
  <c r="AZ107" i="3" s="1"/>
  <c r="C221" i="31"/>
  <c r="C215" i="31"/>
  <c r="B221" i="31"/>
  <c r="AI20" i="45"/>
  <c r="B222" i="31"/>
  <c r="C222" i="31"/>
  <c r="AI32" i="45"/>
  <c r="C216" i="31"/>
  <c r="AF143" i="3" l="1"/>
  <c r="H139" i="3"/>
  <c r="AJ155" i="3"/>
  <c r="AJ151" i="3"/>
  <c r="AM37" i="45"/>
  <c r="C233" i="31"/>
  <c r="B233" i="31"/>
  <c r="C227" i="31"/>
  <c r="C176" i="31"/>
  <c r="B176" i="31"/>
  <c r="AA46" i="45"/>
  <c r="C158" i="31"/>
  <c r="C166" i="31"/>
  <c r="B166" i="31"/>
  <c r="AA4" i="45"/>
  <c r="C148" i="31"/>
  <c r="C171" i="31"/>
  <c r="AA37" i="45"/>
  <c r="C153" i="31"/>
  <c r="B171" i="31"/>
  <c r="B169" i="31"/>
  <c r="C151" i="31"/>
  <c r="AA7" i="45"/>
  <c r="C169" i="31"/>
  <c r="B179" i="31"/>
  <c r="C161" i="31"/>
  <c r="C179" i="31"/>
  <c r="AA49" i="45"/>
  <c r="AA25" i="45"/>
  <c r="B172" i="31"/>
  <c r="C154" i="31"/>
  <c r="C172" i="31"/>
  <c r="C152" i="31"/>
  <c r="B170" i="31"/>
  <c r="C170" i="31"/>
  <c r="AA34" i="45"/>
  <c r="AA22" i="45"/>
  <c r="C173" i="31"/>
  <c r="B173" i="31"/>
  <c r="C155" i="31"/>
  <c r="B244" i="31" l="1"/>
  <c r="C244" i="31"/>
  <c r="AQ32" i="45"/>
  <c r="C237" i="31"/>
  <c r="BL41" i="45"/>
  <c r="BK41" i="45" s="1"/>
  <c r="BJ41" i="45" s="1"/>
  <c r="BI41" i="45" s="1"/>
  <c r="BH41" i="45" s="1"/>
  <c r="BL25" i="45"/>
  <c r="BK25" i="45" s="1"/>
  <c r="BJ25" i="45" s="1"/>
  <c r="BI25" i="45" s="1"/>
  <c r="BH25" i="45" s="1"/>
  <c r="BL34" i="45"/>
  <c r="BK34" i="45" s="1"/>
  <c r="BJ34" i="45" s="1"/>
  <c r="BI34" i="45" s="1"/>
  <c r="BH34" i="45" s="1"/>
  <c r="BL12" i="45"/>
  <c r="BK12" i="45" s="1"/>
  <c r="BJ12" i="45" s="1"/>
  <c r="BI12" i="45" s="1"/>
  <c r="BH12" i="45" s="1"/>
  <c r="BL45" i="45"/>
  <c r="BK45" i="45" s="1"/>
  <c r="BJ45" i="45" s="1"/>
  <c r="BI45" i="45" s="1"/>
  <c r="BH45" i="45" s="1"/>
  <c r="BL32" i="45"/>
  <c r="BK32" i="45" s="1"/>
  <c r="BJ32" i="45" s="1"/>
  <c r="BI32" i="45" s="1"/>
  <c r="BH32" i="45" s="1"/>
  <c r="BL8" i="45"/>
  <c r="BK8" i="45" s="1"/>
  <c r="BJ8" i="45" s="1"/>
  <c r="BI8" i="45" s="1"/>
  <c r="BH8" i="45" s="1"/>
  <c r="BL33" i="45"/>
  <c r="BK33" i="45" s="1"/>
  <c r="BJ33" i="45" s="1"/>
  <c r="BI33" i="45" s="1"/>
  <c r="BH33" i="45" s="1"/>
  <c r="BL36" i="45"/>
  <c r="BK36" i="45" s="1"/>
  <c r="BJ36" i="45" s="1"/>
  <c r="BI36" i="45" s="1"/>
  <c r="BH36" i="45" s="1"/>
  <c r="BL18" i="45"/>
  <c r="BK18" i="45" s="1"/>
  <c r="BJ18" i="45" s="1"/>
  <c r="BI18" i="45" s="1"/>
  <c r="BH18" i="45" s="1"/>
  <c r="BL44" i="45"/>
  <c r="BK44" i="45" s="1"/>
  <c r="BJ44" i="45" s="1"/>
  <c r="BI44" i="45" s="1"/>
  <c r="BH44" i="45" s="1"/>
  <c r="BL42" i="45"/>
  <c r="BK42" i="45" s="1"/>
  <c r="BJ42" i="45" s="1"/>
  <c r="BI42" i="45" s="1"/>
  <c r="BH42" i="45" s="1"/>
  <c r="BL11" i="45"/>
  <c r="BK11" i="45" s="1"/>
  <c r="BJ11" i="45" s="1"/>
  <c r="BI11" i="45" s="1"/>
  <c r="BH11" i="45" s="1"/>
  <c r="BL20" i="45"/>
  <c r="BK20" i="45" s="1"/>
  <c r="BJ20" i="45" s="1"/>
  <c r="BI20" i="45" s="1"/>
  <c r="BH20" i="45" s="1"/>
  <c r="BL10" i="45"/>
  <c r="BK10" i="45" s="1"/>
  <c r="BJ10" i="45" s="1"/>
  <c r="BI10" i="45" s="1"/>
  <c r="BH10" i="45" s="1"/>
  <c r="BL50" i="45"/>
  <c r="BK50" i="45" s="1"/>
  <c r="BJ50" i="45" s="1"/>
  <c r="BI50" i="45" s="1"/>
  <c r="BH50" i="45" s="1"/>
  <c r="BL29" i="45"/>
  <c r="BK29" i="45" s="1"/>
  <c r="BJ29" i="45" s="1"/>
  <c r="BI29" i="45" s="1"/>
  <c r="BH29" i="45" s="1"/>
  <c r="BL6" i="45"/>
  <c r="BK6" i="45" s="1"/>
  <c r="BJ6" i="45" s="1"/>
  <c r="BI6" i="45" s="1"/>
  <c r="BH6" i="45" s="1"/>
  <c r="BL13" i="45"/>
  <c r="BK13" i="45" s="1"/>
  <c r="BJ13" i="45" s="1"/>
  <c r="BI13" i="45" s="1"/>
  <c r="BH13" i="45" s="1"/>
  <c r="BL40" i="45"/>
  <c r="BK40" i="45" s="1"/>
  <c r="BJ40" i="45" s="1"/>
  <c r="BI40" i="45" s="1"/>
  <c r="BH40" i="45" s="1"/>
  <c r="BL24" i="45"/>
  <c r="BK24" i="45" s="1"/>
  <c r="BJ24" i="45" s="1"/>
  <c r="BI24" i="45" s="1"/>
  <c r="BH24" i="45" s="1"/>
  <c r="BL16" i="45"/>
  <c r="BK16" i="45" s="1"/>
  <c r="BJ16" i="45" s="1"/>
  <c r="BI16" i="45" s="1"/>
  <c r="BH16" i="45" s="1"/>
  <c r="BL22" i="45"/>
  <c r="BK22" i="45" s="1"/>
  <c r="BJ22" i="45" s="1"/>
  <c r="BI22" i="45" s="1"/>
  <c r="BH22" i="45" s="1"/>
  <c r="BL19" i="45"/>
  <c r="BK19" i="45" s="1"/>
  <c r="BJ19" i="45" s="1"/>
  <c r="BI19" i="45" s="1"/>
  <c r="BH19" i="45" s="1"/>
  <c r="BL26" i="45"/>
  <c r="BK26" i="45" s="1"/>
  <c r="BJ26" i="45" s="1"/>
  <c r="BI26" i="45" s="1"/>
  <c r="BH26" i="45" s="1"/>
  <c r="BL37" i="45"/>
  <c r="BK37" i="45" s="1"/>
  <c r="BJ37" i="45" s="1"/>
  <c r="BI37" i="45" s="1"/>
  <c r="BH37" i="45" s="1"/>
  <c r="BL7" i="45"/>
  <c r="BK7" i="45" s="1"/>
  <c r="BJ7" i="45" s="1"/>
  <c r="BI7" i="45" s="1"/>
  <c r="BH7" i="45" s="1"/>
  <c r="BL43" i="45"/>
  <c r="BK43" i="45" s="1"/>
  <c r="BJ43" i="45" s="1"/>
  <c r="BI43" i="45" s="1"/>
  <c r="BH43" i="45" s="1"/>
  <c r="BL31" i="45"/>
  <c r="BK31" i="45" s="1"/>
  <c r="BJ31" i="45" s="1"/>
  <c r="BI31" i="45" s="1"/>
  <c r="BH31" i="45" s="1"/>
  <c r="BL21" i="45"/>
  <c r="BK21" i="45" s="1"/>
  <c r="BJ21" i="45" s="1"/>
  <c r="BI21" i="45" s="1"/>
  <c r="BH21" i="45" s="1"/>
  <c r="BL9" i="45"/>
  <c r="BK9" i="45" s="1"/>
  <c r="BJ9" i="45" s="1"/>
  <c r="BI9" i="45" s="1"/>
  <c r="BH9" i="45" s="1"/>
  <c r="BL23" i="45"/>
  <c r="BK23" i="45" s="1"/>
  <c r="BJ23" i="45" s="1"/>
  <c r="BI23" i="45" s="1"/>
  <c r="BH23" i="45" s="1"/>
  <c r="BL15" i="45"/>
  <c r="BK15" i="45" s="1"/>
  <c r="BJ15" i="45" s="1"/>
  <c r="BI15" i="45" s="1"/>
  <c r="BH15" i="45" s="1"/>
  <c r="BL38" i="45"/>
  <c r="BK38" i="45" s="1"/>
  <c r="BJ38" i="45" s="1"/>
  <c r="BI38" i="45" s="1"/>
  <c r="BH38" i="45" s="1"/>
  <c r="BL46" i="45"/>
  <c r="BK46" i="45" s="1"/>
  <c r="BJ46" i="45" s="1"/>
  <c r="BI46" i="45" s="1"/>
  <c r="BH46" i="45" s="1"/>
  <c r="BL51" i="45"/>
  <c r="BK51" i="45" s="1"/>
  <c r="BJ51" i="45" s="1"/>
  <c r="BI51" i="45" s="1"/>
  <c r="BH51" i="45" s="1"/>
  <c r="BL14" i="45"/>
  <c r="BK14" i="45" s="1"/>
  <c r="BJ14" i="45" s="1"/>
  <c r="BI14" i="45" s="1"/>
  <c r="BH14" i="45" s="1"/>
  <c r="BL27" i="45"/>
  <c r="BK27" i="45" s="1"/>
  <c r="BJ27" i="45" s="1"/>
  <c r="BI27" i="45" s="1"/>
  <c r="BH27" i="45" s="1"/>
  <c r="BL30" i="45"/>
  <c r="BK30" i="45" s="1"/>
  <c r="BJ30" i="45" s="1"/>
  <c r="BI30" i="45" s="1"/>
  <c r="BH30" i="45" s="1"/>
  <c r="BL47" i="45"/>
  <c r="BK47" i="45" s="1"/>
  <c r="BJ47" i="45" s="1"/>
  <c r="BI47" i="45" s="1"/>
  <c r="BH47" i="45" s="1"/>
  <c r="BL5" i="45"/>
  <c r="BK5" i="45" s="1"/>
  <c r="BJ5" i="45" s="1"/>
  <c r="BI5" i="45" s="1"/>
  <c r="BH5" i="45" s="1"/>
  <c r="BL48" i="45"/>
  <c r="BK48" i="45" s="1"/>
  <c r="BJ48" i="45" s="1"/>
  <c r="BI48" i="45" s="1"/>
  <c r="BH48" i="45" s="1"/>
  <c r="BL4" i="45"/>
  <c r="BK4" i="45" s="1"/>
  <c r="BJ4" i="45" s="1"/>
  <c r="BI4" i="45" s="1"/>
  <c r="BH4" i="45" s="1"/>
  <c r="BL39" i="45"/>
  <c r="BK39" i="45" s="1"/>
  <c r="BJ39" i="45" s="1"/>
  <c r="BI39" i="45" s="1"/>
  <c r="BH39" i="45" s="1"/>
  <c r="BL28" i="45"/>
  <c r="BK28" i="45" s="1"/>
  <c r="BJ28" i="45" s="1"/>
  <c r="BI28" i="45" s="1"/>
  <c r="BH28" i="45" s="1"/>
  <c r="BL17" i="45"/>
  <c r="BK17" i="45" s="1"/>
  <c r="BJ17" i="45" s="1"/>
  <c r="BI17" i="45" s="1"/>
  <c r="BH17" i="45" s="1"/>
  <c r="BL49" i="45"/>
  <c r="BK49" i="45" s="1"/>
  <c r="BJ49" i="45" s="1"/>
  <c r="BI49" i="45" s="1"/>
  <c r="BH49" i="45" s="1"/>
  <c r="BL35" i="45"/>
  <c r="BK35" i="45" s="1"/>
  <c r="BJ35" i="45" s="1"/>
  <c r="BI35" i="45" s="1"/>
  <c r="BH35"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<sst xmlns="http://schemas.openxmlformats.org/spreadsheetml/2006/main" count="6763" uniqueCount="1521">
  <si>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</si>
  <si>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</si>
  <si>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</si>
  <si>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</si>
  <si>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</si>
  <si>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</si>
  <si>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</si>
  <si>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</si>
  <si>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</si>
  <si>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</si>
  <si>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</si>
  <si>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</si>
  <si>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</si>
  <si>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</si>
  <si>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</si>
  <si>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</si>
  <si>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</si>
  <si>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</si>
  <si>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</si>
  <si>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</si>
  <si>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</si>
  <si>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</si>
  <si>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</si>
  <si>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</si>
  <si>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</si>
  <si>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</si>
  <si>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</si>
  <si>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</si>
  <si>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</si>
  <si>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</si>
  <si>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</si>
  <si>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</si>
  <si>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</si>
  <si>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</si>
  <si>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</si>
  <si>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</si>
  <si>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</si>
  <si>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</si>
  <si>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</si>
  <si>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</si>
  <si>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</si>
  <si>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</si>
  <si>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</si>
  <si>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</si>
  <si>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</si>
  <si>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</si>
  <si>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</si>
  <si>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</si>
  <si>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</si>
  <si>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</si>
  <si>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</si>
  <si>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</si>
  <si>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</si>
  <si>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</si>
  <si>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</si>
  <si>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</si>
  <si>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</si>
  <si>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</si>
  <si>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</si>
  <si>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</si>
  <si>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</si>
  <si>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</si>
  <si>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</si>
  <si>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</si>
  <si>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</si>
  <si>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</si>
  <si>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</si>
  <si>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</si>
  <si>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</si>
  <si>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</si>
  <si>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</si>
  <si>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</si>
  <si>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</si>
  <si>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</si>
  <si>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</si>
  <si>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</si>
  <si>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</si>
  <si>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</si>
  <si>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</si>
  <si>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</si>
  <si>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</si>
  <si>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</si>
  <si>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</si>
  <si>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</si>
  <si>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</si>
  <si>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</si>
  <si>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</si>
  <si>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</si>
  <si>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</si>
  <si>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</si>
  <si>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</si>
  <si>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</si>
  <si>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</si>
  <si>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</si>
  <si>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</si>
  <si>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</si>
  <si>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</si>
  <si>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</si>
  <si>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</si>
  <si>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</si>
  <si>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</si>
  <si>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</si>
  <si>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</si>
  <si>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</si>
  <si>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</si>
  <si>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</si>
  <si>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</si>
  <si>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</si>
  <si>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</si>
  <si>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</si>
  <si>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</si>
  <si>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</si>
  <si>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</si>
  <si>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</si>
  <si>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</si>
  <si>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</si>
  <si>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</si>
  <si>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</si>
  <si>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</si>
  <si>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</si>
  <si>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</si>
  <si>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</si>
  <si>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</si>
  <si>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</si>
  <si>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</si>
  <si>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</si>
  <si>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</si>
  <si>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</si>
  <si>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</si>
  <si>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</si>
  <si>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</si>
  <si>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</si>
  <si>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</si>
  <si>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</si>
  <si>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</si>
  <si>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</si>
  <si>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</si>
  <si>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</si>
  <si>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</si>
  <si>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</si>
  <si>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</si>
  <si>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</si>
  <si>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</si>
  <si>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</si>
  <si>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</si>
  <si>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</si>
  <si>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</si>
  <si>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</si>
  <si>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</si>
  <si>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</si>
  <si>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</si>
  <si>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</si>
  <si>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</si>
  <si>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</si>
  <si>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</si>
  <si>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</si>
  <si>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</si>
  <si>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</si>
  <si>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</si>
  <si>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</si>
  <si>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</si>
  <si>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</si>
  <si>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</si>
  <si>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</si>
  <si>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</si>
  <si>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</si>
  <si>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</si>
  <si>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</si>
  <si>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</si>
  <si>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</si>
  <si>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</si>
  <si>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</si>
  <si>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</si>
  <si>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</si>
  <si>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</si>
  <si>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</si>
  <si>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</si>
  <si>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</si>
  <si>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</si>
  <si>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</si>
  <si>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</si>
  <si>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</si>
  <si>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</si>
  <si>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</si>
  <si>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</si>
  <si>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</si>
  <si>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</si>
  <si>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</si>
  <si>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</si>
  <si>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</si>
  <si>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</si>
  <si>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</si>
  <si>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</si>
  <si>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</si>
  <si>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</si>
  <si>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</si>
  <si>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</si>
  <si>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</si>
  <si>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</si>
  <si>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</si>
  <si>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</si>
  <si>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</si>
  <si>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</si>
  <si>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</si>
  <si>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</si>
  <si>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</si>
  <si>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</si>
  <si>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</si>
  <si>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</si>
  <si>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</si>
  <si>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</si>
  <si>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</si>
  <si>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</si>
  <si>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</si>
  <si>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</si>
  <si>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</si>
  <si>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</si>
  <si>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</si>
  <si>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</si>
  <si>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</si>
  <si>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</si>
  <si>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</si>
  <si>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</si>
  <si>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</si>
  <si>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</si>
  <si>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</si>
  <si>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</si>
  <si>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</si>
  <si>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</si>
  <si>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</si>
  <si>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</si>
  <si>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</si>
  <si>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</si>
  <si>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</si>
  <si>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</si>
  <si>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</si>
  <si>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</si>
  <si>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</si>
  <si>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</si>
  <si>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</si>
  <si>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</si>
  <si>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</si>
  <si>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</si>
  <si>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</si>
  <si>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</si>
  <si>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</si>
  <si>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</si>
  <si>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</si>
  <si>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</si>
  <si>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</si>
  <si>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</si>
  <si>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</si>
  <si>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</si>
  <si>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</si>
  <si>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</si>
  <si>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</si>
  <si>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</si>
  <si>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</si>
  <si>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</si>
  <si>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</si>
  <si>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</si>
  <si>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</si>
  <si>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</si>
  <si>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</si>
  <si>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</si>
  <si>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</si>
  <si>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</si>
  <si>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</si>
  <si>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</si>
  <si>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</si>
  <si>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</si>
  <si>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</si>
  <si>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</si>
  <si>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</si>
  <si>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</si>
  <si>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</si>
  <si>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</si>
  <si>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</si>
  <si>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</si>
  <si>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</si>
  <si>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</si>
  <si>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</si>
  <si>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</si>
  <si>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</si>
  <si>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</si>
  <si>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</si>
  <si>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</si>
  <si>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</si>
  <si>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</si>
  <si>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</si>
  <si>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</si>
  <si>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</si>
  <si>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</si>
  <si>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</si>
  <si>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</si>
  <si>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</si>
  <si>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</si>
  <si>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</si>
  <si>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</si>
  <si>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</si>
  <si>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</si>
  <si>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</si>
  <si>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</si>
  <si>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</si>
  <si>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</si>
  <si>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</si>
  <si>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</si>
  <si>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</si>
  <si>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</si>
  <si>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</si>
  <si>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</si>
  <si>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</si>
  <si>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</si>
  <si>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</si>
  <si>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</si>
  <si>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</si>
  <si>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</si>
  <si>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</si>
  <si>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</si>
  <si>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</si>
  <si>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</si>
  <si>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</si>
  <si>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</si>
  <si>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</si>
  <si>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</si>
  <si>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</si>
  <si>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</si>
  <si>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</si>
  <si>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</si>
  <si>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</si>
  <si>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</si>
  <si>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</si>
  <si>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</si>
  <si>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</si>
  <si>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</si>
  <si>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</si>
  <si>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</si>
  <si>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</si>
  <si>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</si>
  <si>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</si>
  <si>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</si>
  <si>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</si>
  <si>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</si>
  <si>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</si>
  <si>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</si>
  <si>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</si>
  <si>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</si>
  <si>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</si>
  <si>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</si>
  <si>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</si>
  <si>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</si>
  <si>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</si>
  <si>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</si>
  <si>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</si>
  <si>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</si>
  <si>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</si>
  <si>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</si>
  <si>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</si>
  <si>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</si>
  <si>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</si>
  <si>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</si>
  <si>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</si>
  <si>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</si>
  <si>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</si>
  <si>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</si>
  <si>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</si>
  <si>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</si>
  <si>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</si>
  <si>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</si>
  <si>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</si>
  <si>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</si>
  <si>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</si>
  <si>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</si>
  <si>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</si>
  <si>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</si>
  <si>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</si>
  <si>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</si>
  <si>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</si>
  <si>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</si>
  <si>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</si>
  <si>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</si>
  <si>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</si>
  <si>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</si>
  <si>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</si>
  <si>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</si>
  <si>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</si>
  <si>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</si>
  <si>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</si>
  <si>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</si>
  <si>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</si>
  <si>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</si>
  <si>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</si>
  <si>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</si>
  <si>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</si>
  <si>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</si>
  <si>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</si>
  <si>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</si>
  <si>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</si>
  <si>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</si>
  <si>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</si>
  <si>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</si>
  <si>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</si>
  <si>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</si>
  <si>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</si>
  <si>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</si>
  <si>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</si>
  <si>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</si>
  <si>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</si>
  <si>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</si>
  <si>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</si>
  <si>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</si>
  <si>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</si>
  <si>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</si>
  <si>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</si>
  <si>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</si>
  <si>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</si>
  <si>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</si>
  <si>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</si>
  <si>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</si>
  <si>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</si>
  <si>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</si>
  <si>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</si>
  <si>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</si>
  <si>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</si>
  <si>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</si>
  <si>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</si>
  <si>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</si>
  <si>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</si>
  <si>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</si>
  <si>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</si>
  <si>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</si>
  <si>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</si>
  <si>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</si>
  <si>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</si>
  <si>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</si>
  <si>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</si>
  <si>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</si>
  <si>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</si>
  <si>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</si>
  <si>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</si>
  <si>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</si>
  <si>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</si>
  <si>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</si>
  <si>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</si>
  <si>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</si>
  <si>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</si>
  <si>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</si>
  <si>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</si>
  <si>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</si>
  <si>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</si>
  <si>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</si>
  <si>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</si>
  <si>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</si>
  <si>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</si>
  <si>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</si>
  <si>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</si>
  <si>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</si>
  <si>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</si>
  <si>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</si>
  <si>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</si>
  <si>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</si>
  <si>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</si>
  <si>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</si>
  <si>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</si>
  <si>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</si>
  <si>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</si>
  <si>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</si>
  <si>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</si>
  <si>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</si>
  <si>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</si>
  <si>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</si>
  <si>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</si>
  <si>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</si>
  <si>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</si>
  <si>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</si>
  <si>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</si>
  <si>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</si>
  <si>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</si>
  <si>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</si>
  <si>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</si>
  <si>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</si>
  <si>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</si>
  <si>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</si>
  <si>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</si>
  <si>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</si>
  <si>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</si>
  <si>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</si>
  <si>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</si>
  <si>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</si>
  <si>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</si>
  <si>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</si>
  <si>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</si>
  <si>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</si>
  <si>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</si>
  <si>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</si>
  <si>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</si>
  <si>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</si>
  <si>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</si>
  <si>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</si>
  <si>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</si>
  <si>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</si>
  <si>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</si>
  <si>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</si>
  <si>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</si>
  <si>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</si>
  <si>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</si>
  <si>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</si>
  <si>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</si>
  <si>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</si>
  <si>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</si>
  <si>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</si>
  <si>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</si>
  <si>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</si>
  <si>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</si>
  <si>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</si>
  <si>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</si>
  <si>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</si>
  <si>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</si>
  <si>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</si>
  <si>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</si>
  <si>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</si>
  <si>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</si>
  <si>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</si>
  <si>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</si>
  <si>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</si>
  <si>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</si>
  <si>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</si>
  <si>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</si>
  <si>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</si>
  <si>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</si>
  <si>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</si>
  <si>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</si>
  <si>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</si>
  <si>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</si>
  <si>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</si>
  <si>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</si>
  <si>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</si>
  <si>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</si>
  <si>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</si>
  <si>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</si>
  <si>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</si>
  <si>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</si>
  <si>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</si>
  <si>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</si>
  <si>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</si>
  <si>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</si>
  <si>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</si>
  <si>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</si>
  <si>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</si>
  <si>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</si>
  <si>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</si>
  <si>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</si>
  <si>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</si>
  <si>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</si>
  <si>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</si>
  <si>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</si>
  <si>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</si>
  <si>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</si>
  <si>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</si>
  <si>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</si>
  <si>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</si>
  <si>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</si>
  <si>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</si>
  <si>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</si>
  <si>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</si>
  <si>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</si>
  <si>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</si>
  <si>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</si>
  <si>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</si>
  <si>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</si>
  <si>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</si>
  <si>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</si>
  <si>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</si>
  <si>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</si>
  <si>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</si>
  <si>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</si>
  <si>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</si>
  <si>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</si>
  <si>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</si>
  <si>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</si>
  <si>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</si>
  <si>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</si>
  <si>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</si>
  <si>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</si>
  <si>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</si>
  <si>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</si>
  <si>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</si>
  <si>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</si>
  <si>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</si>
  <si>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</si>
  <si>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</si>
  <si>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</si>
  <si>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</si>
  <si>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</si>
  <si>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</si>
  <si>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</si>
  <si>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</si>
  <si>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</si>
  <si>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</si>
  <si>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</si>
  <si>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</si>
  <si>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</si>
  <si>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</si>
  <si>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</si>
  <si>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</si>
  <si>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</si>
  <si>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</si>
  <si>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</si>
  <si>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</si>
  <si>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</si>
  <si>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</si>
  <si>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</si>
  <si>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</si>
  <si>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</si>
  <si>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</si>
  <si>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</si>
  <si>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</si>
  <si>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</si>
  <si>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</si>
  <si>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</si>
  <si>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</si>
  <si>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</si>
  <si>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</si>
  <si>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</si>
  <si>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</si>
  <si>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</si>
  <si>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</si>
  <si>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</si>
  <si>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</si>
  <si>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</si>
  <si>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</si>
  <si>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</si>
  <si>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</si>
  <si>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</si>
  <si>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</si>
  <si>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</si>
  <si>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</si>
  <si>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</si>
  <si>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</si>
  <si>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</si>
  <si>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</si>
  <si>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</si>
  <si>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</si>
  <si>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</si>
  <si>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</si>
  <si>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</si>
  <si>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</si>
  <si>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</si>
  <si>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</si>
  <si>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</si>
  <si>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</si>
  <si>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</si>
  <si>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</si>
  <si>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</si>
  <si>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</si>
  <si>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</si>
  <si>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</si>
  <si>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</si>
  <si>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</si>
  <si>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</si>
  <si>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</si>
  <si>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</si>
  <si>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</si>
  <si>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</si>
  <si>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</si>
  <si>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</si>
  <si>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</si>
  <si>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</si>
  <si>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</si>
  <si>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</si>
  <si>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</si>
  <si>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</si>
  <si>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</si>
  <si>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</si>
  <si>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</si>
  <si>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</si>
  <si>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</si>
  <si>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</si>
  <si>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</si>
  <si>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</si>
  <si>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</si>
  <si>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</si>
  <si>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</si>
  <si>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</si>
  <si>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</si>
  <si>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</si>
  <si>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</si>
  <si>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</si>
  <si>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</si>
  <si>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</si>
  <si>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</si>
  <si>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</si>
  <si>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</si>
  <si>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</si>
  <si>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</si>
  <si>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</si>
  <si>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</si>
  <si>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</si>
  <si>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</si>
  <si>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</si>
  <si>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</si>
  <si>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</si>
  <si>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</si>
  <si>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</si>
  <si>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</si>
  <si>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</si>
  <si>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</si>
  <si>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</si>
  <si>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</si>
  <si>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</si>
  <si>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</si>
  <si>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</si>
  <si>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</si>
  <si>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</si>
  <si>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</si>
  <si>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</si>
  <si>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</si>
  <si>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</si>
  <si>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</si>
  <si>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</si>
  <si>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</si>
  <si>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</si>
  <si>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</si>
  <si>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</si>
  <si>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</si>
  <si>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</si>
  <si>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</si>
  <si>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</si>
  <si>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</si>
  <si>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</si>
  <si>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</si>
  <si>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</si>
  <si>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</si>
  <si>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</si>
  <si>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</si>
  <si>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</si>
  <si>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</si>
  <si>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</si>
  <si>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</si>
  <si>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</si>
  <si>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</si>
  <si>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</si>
  <si>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</si>
  <si>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</si>
  <si>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</si>
  <si>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</si>
  <si>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</si>
  <si>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</si>
  <si>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</si>
  <si>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</si>
  <si>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</si>
  <si>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</si>
  <si>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</si>
  <si>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</si>
  <si>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</si>
  <si>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</si>
  <si>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</si>
  <si>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</si>
  <si>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</si>
  <si>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</si>
  <si>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</si>
  <si>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</si>
  <si>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</si>
  <si>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</si>
  <si>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</si>
  <si>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</si>
  <si>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</si>
  <si>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</si>
  <si>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</si>
  <si>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</si>
  <si>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</si>
  <si>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</si>
  <si>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</si>
  <si>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</si>
  <si>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</si>
  <si>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</si>
  <si>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</si>
  <si>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</si>
  <si>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</si>
  <si>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</si>
  <si>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</si>
  <si>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</si>
  <si>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</si>
  <si>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</si>
  <si>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</si>
  <si>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</si>
  <si>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</si>
  <si>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</si>
  <si>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</si>
  <si>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</si>
  <si>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</si>
  <si>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</si>
  <si>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</si>
  <si>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</si>
  <si>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</si>
  <si>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</si>
  <si>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</si>
  <si>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</si>
  <si>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</si>
  <si>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</si>
  <si>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</si>
  <si>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</si>
  <si>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</si>
  <si>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</si>
  <si>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</si>
  <si>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</si>
  <si>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</si>
  <si>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</si>
  <si>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</si>
  <si>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</si>
  <si>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</si>
  <si>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</si>
  <si>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</si>
  <si>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</si>
  <si>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</si>
  <si>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</si>
  <si>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</si>
  <si>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</si>
  <si>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</si>
  <si>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</si>
  <si>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</si>
  <si>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</si>
  <si>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</si>
  <si>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</si>
  <si>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</si>
  <si>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</si>
  <si>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</si>
  <si>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</si>
  <si>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</si>
  <si>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</si>
  <si>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</si>
  <si>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</si>
  <si>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</si>
  <si>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</si>
  <si>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</si>
  <si>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</si>
  <si>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</si>
  <si>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</si>
  <si>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</si>
  <si>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</si>
  <si>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</si>
  <si>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</si>
  <si>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</si>
  <si>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</si>
  <si>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</si>
  <si>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</si>
  <si>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</si>
  <si>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</si>
  <si>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</si>
  <si>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</si>
  <si>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</si>
  <si>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</si>
  <si>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</si>
  <si>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</si>
  <si>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</si>
  <si>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</si>
  <si>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</si>
  <si>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</si>
  <si>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</si>
  <si>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</si>
  <si>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</si>
  <si>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</si>
  <si>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</si>
  <si>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</si>
  <si>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</si>
  <si>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</si>
  <si>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</si>
  <si>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</si>
  <si>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</si>
  <si>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</si>
  <si>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</si>
  <si>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</si>
  <si>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</si>
  <si>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</si>
  <si>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</si>
  <si>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</si>
  <si>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</si>
  <si>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</si>
  <si>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</si>
  <si>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</si>
  <si>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</si>
  <si>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</si>
  <si>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</si>
  <si>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</si>
  <si>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</si>
  <si>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</si>
  <si>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</si>
  <si>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</si>
  <si>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</si>
  <si>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</si>
  <si>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</si>
  <si>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</si>
  <si>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</si>
  <si>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</si>
  <si>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</si>
  <si>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</si>
  <si>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</si>
  <si>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</si>
  <si>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</si>
  <si>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</si>
  <si>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</si>
  <si>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</si>
  <si>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</si>
  <si>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</si>
  <si>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</si>
  <si>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</si>
  <si>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</si>
  <si>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</si>
  <si>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</si>
  <si>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</si>
  <si>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</si>
  <si>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</si>
  <si>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</si>
  <si>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</si>
  <si>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</si>
  <si>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</si>
  <si>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</si>
  <si>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</si>
  <si>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</si>
  <si>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</si>
  <si>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</si>
  <si>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</si>
  <si>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</si>
  <si>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</si>
  <si>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</si>
  <si>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</si>
  <si>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</si>
  <si>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</si>
  <si>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</si>
  <si>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</si>
  <si>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</si>
  <si>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</si>
  <si>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</si>
  <si>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</si>
  <si>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</si>
  <si>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</si>
  <si>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</si>
  <si>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</si>
  <si>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</si>
  <si>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</si>
  <si>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</si>
  <si>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</si>
  <si>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</si>
  <si>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</si>
  <si>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</si>
  <si>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</si>
  <si>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</si>
  <si>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</si>
  <si>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</si>
  <si>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</si>
  <si>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</si>
  <si>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</si>
  <si>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</si>
  <si>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</si>
  <si>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</si>
  <si>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</si>
  <si>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</si>
  <si>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</si>
  <si>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</si>
  <si>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</si>
  <si>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</si>
  <si>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</si>
  <si>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</si>
  <si>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</si>
  <si>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</si>
  <si>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</si>
  <si>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</si>
  <si>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</si>
  <si>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</si>
  <si>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</si>
  <si>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</si>
  <si>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</si>
  <si>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</si>
  <si>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</si>
  <si>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</si>
  <si>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</si>
  <si>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</si>
  <si>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</si>
  <si>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</si>
  <si>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</si>
  <si>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</si>
  <si>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</si>
  <si>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</si>
  <si>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</si>
  <si>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</si>
  <si>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</si>
  <si>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</si>
  <si>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</si>
  <si>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</si>
  <si>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</si>
  <si>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</si>
  <si>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</si>
  <si>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</si>
  <si>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</si>
  <si>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</si>
  <si>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</si>
  <si>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</si>
  <si>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</si>
  <si>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</si>
  <si>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</si>
  <si>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</si>
  <si>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</si>
  <si>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</si>
  <si>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</si>
  <si>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</si>
  <si>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</si>
  <si>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</si>
  <si>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</si>
  <si>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</si>
  <si>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</si>
  <si>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</si>
  <si>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</si>
  <si>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</si>
  <si>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</si>
  <si>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</si>
  <si>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</si>
  <si>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</si>
  <si>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</si>
  <si>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</si>
  <si>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</si>
  <si>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</si>
  <si>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</si>
  <si>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</si>
  <si>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</si>
  <si>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</si>
  <si>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</si>
  <si>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</si>
  <si>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</si>
  <si>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</si>
  <si>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</si>
  <si>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</si>
  <si>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</si>
  <si>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</si>
  <si>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</si>
  <si>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</si>
  <si>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</si>
  <si>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</si>
  <si>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</si>
  <si>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</si>
  <si>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</si>
  <si>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</si>
  <si>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</si>
  <si>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</si>
  <si>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</si>
  <si>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</si>
  <si>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</si>
  <si>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</si>
  <si>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</si>
  <si>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</si>
  <si>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</si>
  <si>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</si>
  <si>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</si>
  <si>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</si>
  <si>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</si>
  <si>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</si>
  <si>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</si>
  <si>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</si>
  <si>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</si>
  <si>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</si>
  <si>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</si>
  <si>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</si>
  <si>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</si>
  <si>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</si>
  <si>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</si>
  <si>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</si>
  <si>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</si>
  <si>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</si>
  <si>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</si>
  <si>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</si>
  <si>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</si>
  <si>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</si>
  <si>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</si>
  <si>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</si>
  <si>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</si>
  <si>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</si>
  <si>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</si>
  <si>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</si>
  <si>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</si>
  <si>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</si>
  <si>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</si>
  <si>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</si>
  <si>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</si>
  <si>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</si>
  <si>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</si>
  <si>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</si>
  <si>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</si>
  <si>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</si>
  <si>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</si>
  <si>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</si>
  <si>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</si>
  <si>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</si>
  <si>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</si>
  <si>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</si>
  <si>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</si>
  <si>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</si>
  <si>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</si>
  <si>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</si>
  <si>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</si>
  <si>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</si>
  <si>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</si>
  <si>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</si>
  <si>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</si>
  <si>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</si>
  <si>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</si>
  <si>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</si>
  <si>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</si>
  <si>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</si>
  <si>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</si>
  <si>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</si>
  <si>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</si>
  <si>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</si>
  <si>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</si>
  <si>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</si>
  <si>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</si>
  <si>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</si>
  <si>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</si>
  <si>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</si>
  <si>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</si>
  <si>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</si>
  <si>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</si>
  <si>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</si>
  <si>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</si>
  <si>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</si>
  <si>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</si>
  <si>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</si>
  <si>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</si>
  <si>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</si>
  <si>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</si>
  <si>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</si>
  <si>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</si>
  <si>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</si>
  <si>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</si>
  <si>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</si>
  <si>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</si>
  <si>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</si>
  <si>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</si>
  <si>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</si>
  <si>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</si>
  <si>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</si>
  <si>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</si>
  <si>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</si>
  <si>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</si>
  <si>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</si>
  <si>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</si>
  <si>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</si>
  <si>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</si>
  <si>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</si>
  <si>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</si>
  <si>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</si>
  <si>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</si>
  <si>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</si>
  <si>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</si>
  <si>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</si>
  <si>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</si>
  <si>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</si>
  <si>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</si>
  <si>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</si>
  <si>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</si>
  <si>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</si>
  <si>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</si>
  <si>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</si>
  <si>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</si>
  <si>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</si>
  <si>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</si>
  <si>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</si>
  <si>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</si>
  <si>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</si>
  <si>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</si>
  <si>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</si>
  <si>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</si>
  <si>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</si>
  <si>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</si>
  <si>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</si>
  <si>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</si>
  <si>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</si>
  <si>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</si>
  <si>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</si>
  <si>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</si>
  <si>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</si>
  <si>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</si>
  <si>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</si>
  <si>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</si>
  <si>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</si>
  <si>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</si>
  <si>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</si>
  <si>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</si>
  <si>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</si>
  <si>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</si>
  <si>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</si>
  <si>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</si>
  <si>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</si>
  <si>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</si>
  <si>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</si>
  <si>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</si>
  <si>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</si>
  <si>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</si>
  <si>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</si>
  <si>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</si>
  <si>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</si>
  <si>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</si>
  <si>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</si>
  <si>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</si>
  <si>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</si>
  <si>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</si>
  <si>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</si>
  <si>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</si>
  <si>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</si>
  <si>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</si>
  <si>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</si>
  <si>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</si>
  <si>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</si>
  <si>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</si>
  <si>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</si>
  <si>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</si>
  <si>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</si>
  <si>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</si>
  <si>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</si>
  <si>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</si>
  <si>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</si>
  <si>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</si>
  <si>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</si>
  <si>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</si>
  <si>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</si>
  <si>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</si>
  <si>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</si>
  <si>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</si>
  <si>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</si>
  <si>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</si>
  <si>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</si>
  <si>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</si>
  <si>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</si>
  <si>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</si>
  <si>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</si>
  <si>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</si>
  <si>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</si>
  <si>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</si>
  <si>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</si>
  <si>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</si>
  <si>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</si>
  <si>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</si>
  <si>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</si>
  <si>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</si>
  <si>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</si>
  <si>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</si>
  <si>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</si>
  <si>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</si>
  <si>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</si>
  <si>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</si>
  <si>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</si>
  <si>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</si>
  <si>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</si>
  <si>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</si>
  <si>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</si>
  <si>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</si>
  <si>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</si>
  <si>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</si>
  <si>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</si>
  <si>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</si>
  <si>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</si>
  <si>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</si>
  <si>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</si>
  <si>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</si>
  <si>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</si>
  <si>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</si>
  <si>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</si>
  <si>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</si>
  <si>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</si>
  <si>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</si>
  <si>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</si>
  <si>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</si>
  <si>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</si>
  <si>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</si>
  <si>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</si>
  <si>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</si>
  <si>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</si>
  <si>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</si>
  <si>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</si>
  <si>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</si>
  <si>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</si>
  <si>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</si>
  <si>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</si>
  <si>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</si>
  <si>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</si>
  <si>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</si>
  <si>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</si>
  <si>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</si>
  <si>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</si>
  <si>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</si>
  <si>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</si>
  <si>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</si>
  <si>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</si>
  <si>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</si>
  <si>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</si>
  <si>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</si>
  <si>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</si>
  <si>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</si>
  <si>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</si>
  <si>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</si>
  <si>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</si>
  <si>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</si>
  <si>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</si>
  <si>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</si>
  <si>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</si>
  <si>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</si>
  <si>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</si>
  <si>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</si>
  <si>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</si>
  <si>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</si>
  <si>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</si>
  <si>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</si>
  <si>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</si>
  <si>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</si>
  <si>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</si>
  <si>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</si>
  <si>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</si>
  <si>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</si>
  <si>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</si>
  <si>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</si>
  <si>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</si>
  <si>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</si>
  <si>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</si>
  <si>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</si>
  <si>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</si>
  <si>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</si>
  <si>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</si>
  <si>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</si>
  <si>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</si>
  <si>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</si>
  <si>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</si>
  <si>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</si>
  <si>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</si>
  <si>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</si>
  <si>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</si>
  <si>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</si>
  <si>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</si>
  <si>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</si>
  <si>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</si>
  <si>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</si>
  <si>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</si>
  <si>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</si>
  <si>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</si>
  <si>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</si>
  <si>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</si>
  <si>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</si>
  <si>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</si>
  <si>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</si>
  <si>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</si>
  <si>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</si>
  <si>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</si>
  <si>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</si>
  <si>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</si>
  <si>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</si>
  <si>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</si>
  <si>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</si>
  <si>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</si>
  <si>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</si>
  <si>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</si>
  <si>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</si>
  <si>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</si>
  <si>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</si>
  <si>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</si>
  <si>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</si>
  <si>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</si>
  <si>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</si>
  <si>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</si>
  <si>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</si>
  <si>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</si>
  <si>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</si>
  <si>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</si>
  <si>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</si>
  <si>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</si>
  <si>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</si>
  <si>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</si>
  <si>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</si>
  <si>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</si>
  <si>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</si>
  <si>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</si>
  <si>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</si>
  <si>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</si>
  <si>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</si>
  <si>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</si>
  <si>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</si>
  <si>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</si>
  <si>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</si>
  <si>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</si>
  <si>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</si>
  <si>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</si>
  <si>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</si>
  <si>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</si>
  <si>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</si>
  <si>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</si>
  <si>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</si>
  <si>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</si>
  <si>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</si>
  <si>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</si>
  <si>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</si>
  <si>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</si>
  <si>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</si>
  <si>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</si>
  <si>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</si>
  <si>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</si>
  <si>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</si>
  <si>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</si>
  <si>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</si>
  <si>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</si>
  <si>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</si>
  <si>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</si>
  <si>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</si>
  <si>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</si>
  <si>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</si>
  <si>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</si>
  <si>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</si>
  <si>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</si>
  <si>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</si>
  <si>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</si>
  <si>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</si>
  <si>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</si>
  <si>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</si>
  <si>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</si>
  <si>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</si>
  <si>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</si>
  <si>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</si>
  <si>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</si>
  <si>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</si>
  <si>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</si>
  <si>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</si>
  <si>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</si>
  <si>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</si>
  <si>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</si>
  <si>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</si>
  <si>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</si>
  <si>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</si>
  <si>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</si>
  <si>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</si>
  <si>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</si>
  <si>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</si>
  <si>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</si>
  <si>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</si>
  <si>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</si>
  <si>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</si>
  <si>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</si>
  <si>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</si>
  <si>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</si>
  <si>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</si>
  <si>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</si>
  <si>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</si>
  <si>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</si>
  <si>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</si>
  <si>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</si>
  <si>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</si>
  <si>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</si>
  <si>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</si>
  <si>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</si>
  <si>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</si>
  <si>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</si>
  <si>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</si>
  <si>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</si>
  <si>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</si>
  <si>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</si>
  <si>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</si>
  <si>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</si>
  <si>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</si>
  <si>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</si>
  <si>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</si>
  <si>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</si>
  <si>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</si>
  <si>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</si>
  <si>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</si>
  <si>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</si>
  <si>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</si>
  <si>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</si>
  <si>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</si>
  <si>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</si>
  <si>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</si>
  <si>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</si>
  <si>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</si>
  <si>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</si>
  <si>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</si>
  <si>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</si>
  <si>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</si>
  <si>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</si>
  <si>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</si>
  <si>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</si>
  <si>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</si>
  <si>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</si>
  <si>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</si>
  <si>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</si>
  <si>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</si>
  <si>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</si>
  <si>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</si>
  <si>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</si>
  <si>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</si>
  <si>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</si>
  <si>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</si>
  <si>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</si>
  <si>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</si>
  <si>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</si>
  <si>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</si>
  <si>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</si>
  <si>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</si>
  <si>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</si>
  <si>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</si>
  <si>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</si>
  <si>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</si>
  <si>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</si>
  <si>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</si>
  <si>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</si>
  <si>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</si>
  <si>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</si>
  <si>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</si>
  <si>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</si>
  <si>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</si>
  <si>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</si>
  <si>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</si>
  <si>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</si>
  <si>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</si>
  <si>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Mbappé</t>
  </si>
  <si>
    <t>Harry Kane</t>
  </si>
  <si>
    <t>Haaland</t>
  </si>
  <si>
    <t>Lamine Yamal</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</si>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</sst>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B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tr">
        <f>Idiomas!D45</f>
        <v>Nombre</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1" zoomScale="144" zoomScaleNormal="190" workbookViewId="0">
      <selection activeCell="AA162" sqref="AA162"/>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v>
      </c>
      <c r="AC4" s="50">
        <v>1</v>
      </c>
      <c r="AD4" s="51">
        <v>0</v>
      </c>
      <c r="AE4" s="595" t="str" cm="1">
        <f t="array" aca="1" ref="AE4" ca="1">Ver_flag_visit</f>
        <v>🇿🇦</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x14ac:dyDescent="0.2">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v>
      </c>
      <c r="AC5" s="50">
        <v>1</v>
      </c>
      <c r="AD5" s="51">
        <v>1</v>
      </c>
      <c r="AE5" s="595" t="str" cm="1">
        <f t="array" aca="1" ref="AE5" ca="1">Ver_flag_visit</f>
        <v>🇨🇿</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x14ac:dyDescent="0.2">
      <c r="A6" s="16" t="str">
        <f ca="1">+Equipos!B3</f>
        <v>Sudáfrica</v>
      </c>
      <c r="B6" s="16"/>
      <c r="C6" s="16"/>
      <c r="D6" s="16" t="str">
        <f t="shared" si="0"/>
        <v>Visitante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v>
      </c>
      <c r="AC6" s="50">
        <v>0</v>
      </c>
      <c r="AD6" s="51">
        <v>1</v>
      </c>
      <c r="AE6" s="595" t="str" cm="1">
        <f t="array" aca="1" ref="AE6" ca="1">Ver_flag_visit</f>
        <v>🇿🇦</v>
      </c>
      <c r="AF6" s="32" t="str">
        <f ca="1">A6</f>
        <v>Sudáfrica</v>
      </c>
      <c r="AG6" s="323">
        <f t="shared" si="13"/>
        <v>1</v>
      </c>
      <c r="AH6" s="195">
        <v>25</v>
      </c>
      <c r="AI6" s="181" t="str">
        <f>AJ6&amp;$B$4</f>
        <v>1A</v>
      </c>
      <c r="AJ6" s="40">
        <v>1</v>
      </c>
      <c r="AK6" s="597" t="str" cm="1">
        <f t="array" aca="1" ref="AK6" ca="1">Ver_flag_visit</f>
        <v>🇲🇽</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2</v>
      </c>
      <c r="AT6" s="41">
        <f t="shared" ca="1" si="15"/>
        <v>2</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2</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v>
      </c>
      <c r="AC7" s="50">
        <v>2</v>
      </c>
      <c r="AD7" s="51">
        <v>1</v>
      </c>
      <c r="AE7" s="595" t="str" cm="1">
        <f t="array" aca="1" ref="AE7" ca="1">Ver_flag_visit</f>
        <v>🇰🇷</v>
      </c>
      <c r="AF7" s="32" t="str">
        <f ca="1">A7</f>
        <v>Corea del Sur</v>
      </c>
      <c r="AG7" s="323">
        <f t="shared" si="13"/>
        <v>1</v>
      </c>
      <c r="AH7" s="195">
        <v>28</v>
      </c>
      <c r="AI7" s="181" t="str">
        <f>AJ7&amp;$B$4</f>
        <v>2A</v>
      </c>
      <c r="AJ7" s="42">
        <v>2</v>
      </c>
      <c r="AK7" s="598" t="str" cm="1">
        <f t="array" aca="1" ref="AK7" ca="1">Ver_flag_visit</f>
        <v>🇿🇦</v>
      </c>
      <c r="AL7" s="37" t="str">
        <f ca="1">IFERROR(INDEX($BD$6:$BD$53,MATCH(AI7,$BN$6:$BN$53,0)),"")</f>
        <v>Sudáfrica</v>
      </c>
      <c r="AM7" s="38">
        <f t="shared" ca="1" si="15"/>
        <v>6</v>
      </c>
      <c r="AN7" s="39">
        <f t="shared" ca="1" si="15"/>
        <v>3</v>
      </c>
      <c r="AO7" s="39">
        <f t="shared" ca="1" si="15"/>
        <v>2</v>
      </c>
      <c r="AP7" s="39">
        <f t="shared" ca="1" si="15"/>
        <v>0</v>
      </c>
      <c r="AQ7" s="39">
        <f t="shared" ca="1" si="15"/>
        <v>1</v>
      </c>
      <c r="AR7" s="39">
        <f t="shared" ca="1" si="15"/>
        <v>2</v>
      </c>
      <c r="AS7" s="39">
        <f t="shared" ca="1" si="15"/>
        <v>1</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6</v>
      </c>
      <c r="BF7" s="16">
        <f t="shared" ref="BF7:BF53" ca="1" si="41">+BG7+BH7+BI7</f>
        <v>3</v>
      </c>
      <c r="BG7" s="16">
        <f t="shared" ca="1" si="17"/>
        <v>2</v>
      </c>
      <c r="BH7" s="16">
        <f t="shared" ca="1" si="18"/>
        <v>0</v>
      </c>
      <c r="BI7" s="16">
        <f t="shared" ca="1" si="19"/>
        <v>1</v>
      </c>
      <c r="BJ7" s="16">
        <f t="shared" ca="1" si="20"/>
        <v>2</v>
      </c>
      <c r="BK7" s="16">
        <f t="shared" ca="1" si="21"/>
        <v>1</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6</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x14ac:dyDescent="0.2">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v>
      </c>
      <c r="AC8" s="50">
        <v>1</v>
      </c>
      <c r="AD8" s="51">
        <v>1</v>
      </c>
      <c r="AE8" s="595" t="str" cm="1">
        <f t="array" aca="1" ref="AE8" ca="1">Ver_flag_visit</f>
        <v>🇲🇽</v>
      </c>
      <c r="AF8" s="32" t="str">
        <f ca="1">A5</f>
        <v>México</v>
      </c>
      <c r="AG8" s="323">
        <f t="shared" si="13"/>
        <v>1</v>
      </c>
      <c r="AH8" s="195">
        <v>53</v>
      </c>
      <c r="AI8" s="181" t="str">
        <f>AJ8&amp;$B$4</f>
        <v>3A</v>
      </c>
      <c r="AJ8" s="42">
        <v>3</v>
      </c>
      <c r="AK8" s="598" t="str" cm="1">
        <f t="array" aca="1" ref="AK8" ca="1">Ver_flag_visit</f>
        <v>🇨🇿</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2</v>
      </c>
      <c r="AS8" s="39">
        <f t="shared" ca="1" si="15"/>
        <v>3</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2</v>
      </c>
      <c r="BK8" s="16">
        <f t="shared" ca="1" si="21"/>
        <v>4</v>
      </c>
      <c r="BL8" s="16">
        <f t="shared" ca="1" si="42"/>
        <v>-2</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v>
      </c>
      <c r="AC9" s="53">
        <v>1</v>
      </c>
      <c r="AD9" s="54">
        <v>0</v>
      </c>
      <c r="AE9" s="596" t="str" cm="1">
        <f t="array" aca="1" ref="AE9" ca="1">Ver_flag_visit</f>
        <v>🇰🇷</v>
      </c>
      <c r="AF9" s="33" t="str">
        <f ca="1">A7</f>
        <v>Corea del Sur</v>
      </c>
      <c r="AG9" s="323">
        <f t="shared" si="13"/>
        <v>1</v>
      </c>
      <c r="AH9" s="195">
        <v>54</v>
      </c>
      <c r="AI9" s="181" t="str">
        <f>AJ9&amp;$B$4</f>
        <v>4A</v>
      </c>
      <c r="AJ9" s="44">
        <v>4</v>
      </c>
      <c r="AK9" s="599" t="str" cm="1">
        <f t="array" aca="1" ref="AK9" ca="1">Ver_flag_visit</f>
        <v>🇰🇷</v>
      </c>
      <c r="AL9" s="45" t="str">
        <f ca="1">IFERROR(INDEX($BD$6:$BD$53,MATCH(AI9,$BN$6:$BN$53,0)),"")</f>
        <v>Corea del Sur</v>
      </c>
      <c r="AM9" s="46">
        <f t="shared" ca="1" si="15"/>
        <v>1</v>
      </c>
      <c r="AN9" s="47">
        <f t="shared" ca="1" si="15"/>
        <v>3</v>
      </c>
      <c r="AO9" s="47">
        <f t="shared" ca="1" si="15"/>
        <v>0</v>
      </c>
      <c r="AP9" s="47">
        <f t="shared" ca="1" si="15"/>
        <v>1</v>
      </c>
      <c r="AQ9" s="47">
        <f t="shared" ca="1" si="15"/>
        <v>2</v>
      </c>
      <c r="AR9" s="47">
        <f t="shared" ca="1" si="15"/>
        <v>2</v>
      </c>
      <c r="AS9" s="47">
        <f t="shared" ca="1" si="15"/>
        <v>4</v>
      </c>
      <c r="AT9" s="48">
        <f t="shared" ca="1" si="15"/>
        <v>-2</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41"/>
        <v>3</v>
      </c>
      <c r="BG9" s="16">
        <f t="shared" ca="1" si="17"/>
        <v>0</v>
      </c>
      <c r="BH9" s="16">
        <f t="shared" ca="1" si="18"/>
        <v>2</v>
      </c>
      <c r="BI9" s="16">
        <f t="shared" ca="1" si="19"/>
        <v>1</v>
      </c>
      <c r="BJ9" s="16">
        <f t="shared" ca="1" si="20"/>
        <v>2</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Corea del Sur</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3</v>
      </c>
      <c r="BK10" s="16">
        <f t="shared" ca="1" si="21"/>
        <v>2</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Bosnia y Herzegovina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9</v>
      </c>
      <c r="BF11" s="16">
        <f t="shared" ca="1" si="41"/>
        <v>3</v>
      </c>
      <c r="BG11" s="16">
        <f t="shared" ca="1" si="17"/>
        <v>3</v>
      </c>
      <c r="BH11" s="16">
        <f t="shared" ca="1" si="18"/>
        <v>0</v>
      </c>
      <c r="BI11" s="16">
        <f t="shared" ca="1" si="19"/>
        <v>0</v>
      </c>
      <c r="BJ11" s="16">
        <f t="shared" ca="1" si="20"/>
        <v>6</v>
      </c>
      <c r="BK11" s="16">
        <f t="shared" ca="1" si="21"/>
        <v>2</v>
      </c>
      <c r="BL11" s="16">
        <f t="shared" ca="1" si="42"/>
        <v>4</v>
      </c>
      <c r="BM11" s="16" t="str">
        <f t="shared" ca="1" si="22"/>
        <v>1B</v>
      </c>
      <c r="BN11" s="16" t="str">
        <f t="shared" ca="1" si="23"/>
        <v>1B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9</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1</v>
      </c>
      <c r="DE11" s="16"/>
      <c r="DF11" s="16">
        <f t="shared" ca="1" si="52"/>
        <v>1</v>
      </c>
      <c r="DG11" s="16" t="str">
        <f ca="1">IF(DB11="-","-",COUNTIFS(DF$6:DF$53,"&lt;"&amp;DF11,$BC$6:$BC$53,INDEX(T_Equipos[Grupo],MATCH(BD11,T_Equipos[NombreEquipo],0))))</f>
        <v>-</v>
      </c>
      <c r="DH11" s="16">
        <f ca="1">DA11+COUNTIFS(DB$6:DB$53,DB11,DG$6:DG$53,"&lt;"&amp;DG11,$BC$6:$BC$53,INDEX(T_Equipos[Grupo],MATCH(BD11,T_Equipos[NombreEquipo],0)))</f>
        <v>1</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x14ac:dyDescent="0.25">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v>
      </c>
      <c r="AC12" s="50">
        <v>1</v>
      </c>
      <c r="AD12" s="51">
        <v>2</v>
      </c>
      <c r="AE12" s="595" t="str" cm="1">
        <f t="array" aca="1" ref="AE12" ca="1">Ver_flag_visit</f>
        <v>🇧🇦</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6</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Suiza</v>
      </c>
    </row>
    <row r="13" spans="1:121" ht="16" customHeight="1" x14ac:dyDescent="0.2">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v>
      </c>
      <c r="AC13" s="50">
        <v>0</v>
      </c>
      <c r="AD13" s="51">
        <v>3</v>
      </c>
      <c r="AE13" s="595" t="str" cm="1">
        <f t="array" aca="1" ref="AE13" ca="1">Ver_flag_visit</f>
        <v>🇨🇭</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3</v>
      </c>
      <c r="BF13" s="16">
        <f t="shared" ca="1" si="41"/>
        <v>3</v>
      </c>
      <c r="BG13" s="16">
        <f t="shared" ca="1" si="17"/>
        <v>1</v>
      </c>
      <c r="BH13" s="16">
        <f t="shared" ca="1" si="18"/>
        <v>0</v>
      </c>
      <c r="BI13" s="16">
        <f t="shared" ca="1" si="19"/>
        <v>2</v>
      </c>
      <c r="BJ13" s="16">
        <f t="shared" ca="1" si="20"/>
        <v>4</v>
      </c>
      <c r="BK13" s="16">
        <f t="shared" ca="1" si="21"/>
        <v>3</v>
      </c>
      <c r="BL13" s="16">
        <f t="shared" ca="1" si="42"/>
        <v>1</v>
      </c>
      <c r="BM13" s="16" t="str">
        <f t="shared" ca="1" si="22"/>
        <v>3B</v>
      </c>
      <c r="BN13" s="16" t="str">
        <f t="shared" ca="1" si="23"/>
        <v>3B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3</v>
      </c>
      <c r="BS13" s="16">
        <f ca="1">BP13+COUNTIFS($BQ$6:$BQ$53,BQ13,$BR$6:BR$53,"&gt;"&amp;BR13,$BC$6:$BC$53,INDEX(T_Equipos[Grupo],MATCH(BD13,T_Equipos[NombreEquipo],0)))</f>
        <v>3</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3</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3</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3</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3</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3</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3</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3</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3</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3</v>
      </c>
      <c r="DE13" s="16"/>
      <c r="DF13" s="16">
        <f t="shared" ca="1" si="52"/>
        <v>3</v>
      </c>
      <c r="DG13" s="16" t="str">
        <f ca="1">IF(DB13="-","-",COUNTIFS(DF$6:DF$53,"&lt;"&amp;DF13,$BC$6:$BC$53,INDEX(T_Equipos[Grupo],MATCH(BD13,T_Equipos[NombreEquipo],0))))</f>
        <v>-</v>
      </c>
      <c r="DH13" s="16">
        <f ca="1">DA13+COUNTIFS(DB$6:DB$53,DB13,DG$6:DG$53,"&lt;"&amp;DG13,$BC$6:$BC$53,INDEX(T_Equipos[Grupo],MATCH(BD13,T_Equipos[NombreEquipo],0)))</f>
        <v>3</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x14ac:dyDescent="0.2">
      <c r="A14" s="16" t="str">
        <f ca="1">+Equipos!B7</f>
        <v>Bosnia y Herzegovina</v>
      </c>
      <c r="B14" s="16"/>
      <c r="C14" s="16"/>
      <c r="D14" s="16" t="str">
        <f t="shared" si="53"/>
        <v>Visitante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v>
      </c>
      <c r="AC14" s="50">
        <v>1</v>
      </c>
      <c r="AD14" s="51">
        <v>2</v>
      </c>
      <c r="AE14" s="595" t="str" cm="1">
        <f t="array" aca="1" ref="AE14" ca="1">Ver_flag_visit</f>
        <v>🇧🇦</v>
      </c>
      <c r="AF14" s="32" t="str">
        <f ca="1">A14</f>
        <v>Bosnia y Herzegovina</v>
      </c>
      <c r="AG14" s="323">
        <f t="shared" si="66"/>
        <v>1</v>
      </c>
      <c r="AH14" s="195">
        <v>26</v>
      </c>
      <c r="AI14" s="181" t="str">
        <f>AJ14&amp;$B$12</f>
        <v>1B</v>
      </c>
      <c r="AJ14" s="71">
        <v>1</v>
      </c>
      <c r="AK14" s="601" t="str" cm="1">
        <f t="array" aca="1" ref="AK14" ca="1">Ver_flag_visit</f>
        <v>🇧🇦</v>
      </c>
      <c r="AL14" s="34" t="str">
        <f ca="1">IFERROR(INDEX($BD$6:$BD$53,MATCH(AI14,$BN$6:$BN$53,0)),"")</f>
        <v>Bosnia y Herzegovina</v>
      </c>
      <c r="AM14" s="35">
        <f t="shared" ref="AM14:AT17" ca="1" si="69">INDEX($BE$6:$BN$53,MATCH($AL14,$BD$6:$BD$53,0),MATCH(AM$5,$BE$5:$BN$5,0))</f>
        <v>9</v>
      </c>
      <c r="AN14" s="36">
        <f t="shared" ca="1" si="69"/>
        <v>3</v>
      </c>
      <c r="AO14" s="36">
        <f t="shared" ca="1" si="69"/>
        <v>3</v>
      </c>
      <c r="AP14" s="36">
        <f t="shared" ca="1" si="69"/>
        <v>0</v>
      </c>
      <c r="AQ14" s="36">
        <f t="shared" ca="1" si="69"/>
        <v>0</v>
      </c>
      <c r="AR14" s="36">
        <f t="shared" ca="1" si="69"/>
        <v>6</v>
      </c>
      <c r="AS14" s="36">
        <f t="shared" ca="1" si="69"/>
        <v>2</v>
      </c>
      <c r="AT14" s="72">
        <f t="shared" ca="1" si="69"/>
        <v>4</v>
      </c>
      <c r="AU14" s="330">
        <f ca="1">INDEX($DL$6:$DL$53,MATCH(AI14,$DP$6:$DP$53,0))</f>
        <v>1</v>
      </c>
      <c r="AV14" s="182" t="str">
        <f ca="1">INDEX($BD$6:$BD$53,MATCH(AI14,$BM$6:$BM$53,0))</f>
        <v>Bosnia y Herzegovina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6</v>
      </c>
      <c r="BK14" s="16">
        <f t="shared" ca="1" si="21"/>
        <v>2</v>
      </c>
      <c r="BL14" s="16">
        <f t="shared" ca="1" si="42"/>
        <v>4</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4</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(2)</v>
      </c>
      <c r="CZ14" s="16">
        <f t="shared" ca="1" si="37"/>
        <v>6</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x14ac:dyDescent="0.2">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v>
      </c>
      <c r="AC15" s="50">
        <v>1</v>
      </c>
      <c r="AD15" s="51">
        <v>0</v>
      </c>
      <c r="AE15" s="595" t="str" cm="1">
        <f t="array" aca="1" ref="AE15" ca="1">Ver_flag_visit</f>
        <v>🇶🇦</v>
      </c>
      <c r="AF15" s="32" t="str">
        <f ca="1">A15</f>
        <v>Catar</v>
      </c>
      <c r="AG15" s="323">
        <f t="shared" si="66"/>
        <v>1</v>
      </c>
      <c r="AH15" s="195">
        <v>27</v>
      </c>
      <c r="AI15" s="181" t="str">
        <f t="shared" ref="AI15:AI17" si="70">AJ15&amp;$B$12</f>
        <v>2B</v>
      </c>
      <c r="AJ15" s="73">
        <v>2</v>
      </c>
      <c r="AK15" s="602" t="str" cm="1">
        <f t="array" aca="1" ref="AK15" ca="1">Ver_flag_visit</f>
        <v>🇨🇦</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3</v>
      </c>
      <c r="AS15" s="39">
        <f t="shared" ca="1" si="69"/>
        <v>2</v>
      </c>
      <c r="AT15" s="74">
        <f t="shared" ca="1" si="69"/>
        <v>1</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5</v>
      </c>
      <c r="BK15" s="16">
        <f t="shared" ca="1" si="21"/>
        <v>1</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4</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(2)</v>
      </c>
      <c r="CZ15" s="16">
        <f t="shared" ca="1" si="37"/>
        <v>5</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x14ac:dyDescent="0.2">
      <c r="A16" s="16" t="str">
        <f ca="1">+Equipos!B9</f>
        <v>Suiza</v>
      </c>
      <c r="B16" s="16"/>
      <c r="C16" s="16"/>
      <c r="D16" s="16" t="str">
        <f t="shared" si="53"/>
        <v>Visitante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v>
      </c>
      <c r="AC16" s="50">
        <v>0</v>
      </c>
      <c r="AD16" s="51">
        <v>1</v>
      </c>
      <c r="AE16" s="595" t="str" cm="1">
        <f t="array" aca="1" ref="AE16" ca="1">Ver_flag_visit</f>
        <v>🇨🇦</v>
      </c>
      <c r="AF16" s="32" t="str">
        <f ca="1">A13</f>
        <v>Canadá</v>
      </c>
      <c r="AG16" s="323">
        <f t="shared" si="66"/>
        <v>1</v>
      </c>
      <c r="AH16" s="195">
        <v>51</v>
      </c>
      <c r="AI16" s="181" t="str">
        <f t="shared" si="70"/>
        <v>3B</v>
      </c>
      <c r="AJ16" s="73">
        <v>3</v>
      </c>
      <c r="AK16" s="602" t="str" cm="1">
        <f t="array" aca="1" ref="AK16" ca="1">Ver_flag_visit</f>
        <v>🇨🇭</v>
      </c>
      <c r="AL16" s="37" t="str">
        <f ca="1">IFERROR(INDEX($BD$6:$BD$53,MATCH(AI16,$BN$6:$BN$53,0)),"")</f>
        <v>Suiza</v>
      </c>
      <c r="AM16" s="38">
        <f t="shared" ca="1" si="69"/>
        <v>3</v>
      </c>
      <c r="AN16" s="39">
        <f t="shared" ca="1" si="69"/>
        <v>3</v>
      </c>
      <c r="AO16" s="39">
        <f t="shared" ca="1" si="69"/>
        <v>1</v>
      </c>
      <c r="AP16" s="39">
        <f t="shared" ca="1" si="69"/>
        <v>0</v>
      </c>
      <c r="AQ16" s="39">
        <f t="shared" ca="1" si="69"/>
        <v>2</v>
      </c>
      <c r="AR16" s="39">
        <f t="shared" ca="1" si="69"/>
        <v>4</v>
      </c>
      <c r="AS16" s="39">
        <f t="shared" ca="1" si="69"/>
        <v>3</v>
      </c>
      <c r="AT16" s="74">
        <f t="shared" ca="1" si="69"/>
        <v>1</v>
      </c>
      <c r="AU16" s="330">
        <f ca="1">INDEX($DL$6:$DL$53,MATCH(AI16,$DP$6:$DP$53,0))</f>
        <v>1</v>
      </c>
      <c r="AV16" s="182" t="str">
        <f ca="1">INDEX($BD$6:$BD$53,MATCH(AI16,$BM$6:$BM$53,0))</f>
        <v>Suiza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7</v>
      </c>
      <c r="BL16" s="16">
        <f t="shared" ca="1" si="42"/>
        <v>-7</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x14ac:dyDescent="0.25">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v>
      </c>
      <c r="AC17" s="53">
        <v>2</v>
      </c>
      <c r="AD17" s="54">
        <v>0</v>
      </c>
      <c r="AE17" s="596" t="str" cm="1">
        <f t="array" aca="1" ref="AE17" ca="1">Ver_flag_visit</f>
        <v>🇶🇦</v>
      </c>
      <c r="AF17" s="33" t="str">
        <f ca="1">A15</f>
        <v>Catar</v>
      </c>
      <c r="AG17" s="323">
        <f t="shared" si="66"/>
        <v>1</v>
      </c>
      <c r="AH17" s="195">
        <v>52</v>
      </c>
      <c r="AI17" s="181" t="str">
        <f t="shared" si="70"/>
        <v>4B</v>
      </c>
      <c r="AJ17" s="75">
        <v>4</v>
      </c>
      <c r="AK17" s="603" t="str" cm="1">
        <f t="array" aca="1" ref="AK17" ca="1">Ver_flag_visit</f>
        <v>🇶🇦</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0</v>
      </c>
      <c r="AS17" s="78">
        <f t="shared" ca="1" si="69"/>
        <v>6</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3</v>
      </c>
      <c r="BK18" s="16">
        <f t="shared" ca="1" si="21"/>
        <v>3</v>
      </c>
      <c r="BL18" s="16">
        <f t="shared" ca="1" si="42"/>
        <v>0</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P.2 (2)</v>
      </c>
      <c r="BU18" s="16">
        <f t="shared" ca="1" si="24"/>
        <v>0</v>
      </c>
      <c r="BV18" s="16">
        <f t="shared" ca="1" si="25"/>
        <v>1</v>
      </c>
      <c r="BW18" s="16">
        <f t="shared" ca="1" si="26"/>
        <v>0</v>
      </c>
      <c r="BX18" s="16">
        <f t="shared" ca="1" si="48"/>
        <v>1</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P.2 (2)</v>
      </c>
      <c r="CA18" s="16">
        <f t="shared" ca="1" si="27"/>
        <v>1</v>
      </c>
      <c r="CB18" s="16">
        <f t="shared" ca="1" si="28"/>
        <v>1</v>
      </c>
      <c r="CC18" s="16">
        <f t="shared" ca="1" si="49"/>
        <v>0</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P.2 (2)</v>
      </c>
      <c r="CF18" s="16">
        <f t="shared" ca="1" si="29"/>
        <v>1</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P.2 (2)</v>
      </c>
      <c r="CI18" s="16">
        <f t="shared" ca="1" si="30"/>
        <v>0</v>
      </c>
      <c r="CJ18" s="16">
        <f t="shared" ca="1" si="31"/>
        <v>1</v>
      </c>
      <c r="CK18" s="16">
        <f t="shared" ca="1" si="32"/>
        <v>0</v>
      </c>
      <c r="CL18" s="16">
        <f t="shared" ca="1" si="50"/>
        <v>1</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P.2 (2)</v>
      </c>
      <c r="CO18" s="16">
        <f t="shared" ca="1" si="33"/>
        <v>1</v>
      </c>
      <c r="CP18" s="16">
        <f t="shared" ca="1" si="34"/>
        <v>1</v>
      </c>
      <c r="CQ18" s="16">
        <f t="shared" ca="1" si="51"/>
        <v>0</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P.2 (2)</v>
      </c>
      <c r="CT18" s="16">
        <f t="shared" ca="1" si="35"/>
        <v>1</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P.2 (2)</v>
      </c>
      <c r="CW18" s="16">
        <f t="shared" ca="1" si="36"/>
        <v>0</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P.2 (2)</v>
      </c>
      <c r="CZ18" s="16">
        <f t="shared" ca="1" si="37"/>
        <v>3</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P.2 (2)</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2</v>
      </c>
      <c r="DE18" s="16"/>
      <c r="DF18" s="16">
        <f t="shared" ca="1" si="52"/>
        <v>2.0019999999999998</v>
      </c>
      <c r="DG18" s="16">
        <f ca="1">IF(DB18="-","-",COUNTIFS(DF$6:DF$53,"&lt;"&amp;DF18,$BC$6:$BC$53,INDEX(T_Equipos[Grupo],MATCH(BD18,T_Equipos[NombreEquipo],0))))</f>
        <v>1</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3</v>
      </c>
      <c r="BK19" s="16">
        <f t="shared" ca="1" si="21"/>
        <v>3</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1</v>
      </c>
      <c r="CB19" s="16">
        <f t="shared" ca="1" si="28"/>
        <v>1</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1</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1</v>
      </c>
      <c r="CP19" s="16">
        <f t="shared" ca="1" si="34"/>
        <v>1</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1</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0</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P.2 (2)</v>
      </c>
      <c r="CZ19" s="16">
        <f t="shared" ca="1" si="37"/>
        <v>3</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P.2 (2)</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3</v>
      </c>
      <c r="DE19" s="16"/>
      <c r="DF19" s="16">
        <f t="shared" ca="1" si="52"/>
        <v>3.0030000000000001</v>
      </c>
      <c r="DG19" s="16">
        <f ca="1">IF(DB19="-","-",COUNTIFS(DF$6:DF$53,"&lt;"&amp;DF19,$BC$6:$BC$53,INDEX(T_Equipos[Grupo],MATCH(BD19,T_Equipos[NombreEquipo],0))))</f>
        <v>2</v>
      </c>
      <c r="DH19" s="16">
        <f ca="1">DA19+COUNTIFS(DB$6:DB$53,DB19,DG$6:DG$53,"&lt;"&amp;DG19,$BC$6:$BC$53,INDEX(T_Equipos[Grupo],MATCH(BD19,T_Equipos[NombreEquipo],0)))</f>
        <v>3</v>
      </c>
      <c r="DI19" s="16"/>
      <c r="DJ19" s="16">
        <f t="shared" ca="1" si="38"/>
        <v>2</v>
      </c>
      <c r="DK19" s="16">
        <f t="shared" ca="1" si="39"/>
        <v>12</v>
      </c>
      <c r="DL19" s="16">
        <f t="shared" ca="1" si="40"/>
        <v>2</v>
      </c>
      <c r="DM19" s="16" t="str">
        <f t="shared" ca="1" si="46"/>
        <v>2.2</v>
      </c>
      <c r="DN19" s="16" t="e" cm="1" vm="1">
        <f t="array" aca="1" ref="DN19" ca="1">OFFSET(Horarios!$P$3,DJ19-1,0,DL19,1)</f>
        <v>#VALUE!</v>
      </c>
      <c r="DO19" s="16"/>
      <c r="DP19" s="16" t="s">
        <v>670</v>
      </c>
      <c r="DQ19" s="16" t="str">
        <f t="shared" ca="1" si="47"/>
        <v>Estados Unidos</v>
      </c>
    </row>
    <row r="20" spans="1:121" ht="16"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str" cm="1">
        <f t="array" aca="1" ref="AB20" ca="1">Ver_flag_local</f>
        <v>🇧🇷</v>
      </c>
      <c r="AC20" s="50">
        <v>1</v>
      </c>
      <c r="AD20" s="51">
        <v>1</v>
      </c>
      <c r="AE20" s="595" t="str" cm="1">
        <f t="array" aca="1" ref="AE20" ca="1">Ver_flag_visit</f>
        <v>🇲🇦</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4</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2</v>
      </c>
      <c r="DK20" s="16">
        <f t="shared" ca="1" si="39"/>
        <v>12</v>
      </c>
      <c r="DL20" s="16">
        <f t="shared" ca="1" si="40"/>
        <v>2</v>
      </c>
      <c r="DM20" s="16" t="str">
        <f t="shared" ca="1" si="46"/>
        <v>2.2</v>
      </c>
      <c r="DN20" s="16" t="e" cm="1" vm="1">
        <f t="array" aca="1" ref="DN20" ca="1">OFFSET(Horarios!$P$3,DJ20-1,0,DL20,1)</f>
        <v>#VALUE!</v>
      </c>
      <c r="DO20" s="16"/>
      <c r="DP20" s="16" t="s">
        <v>93</v>
      </c>
      <c r="DQ20" s="16" t="str">
        <f t="shared" ca="1" si="47"/>
        <v>Paraguay</v>
      </c>
    </row>
    <row r="21" spans="1:121" ht="16"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v>
      </c>
      <c r="AC21" s="50">
        <v>0</v>
      </c>
      <c r="AD21" s="51">
        <v>2</v>
      </c>
      <c r="AE21" s="595" t="str" cm="1">
        <f t="array" aca="1" ref="AE21" ca="1">Ver_flag_visit</f>
        <v>🏴󠁧󠁢󠁳󠁣󠁴󠁿</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6</v>
      </c>
      <c r="BK21" s="16">
        <f t="shared" ca="1" si="21"/>
        <v>2</v>
      </c>
      <c r="BL21" s="16">
        <f t="shared" ca="1" si="42"/>
        <v>4</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str" cm="1">
        <f t="array" aca="1" ref="AB22" ca="1">Ver_flag_local</f>
        <v>🏴󠁧󠁢󠁳󠁣󠁴󠁿</v>
      </c>
      <c r="AC22" s="50">
        <v>0</v>
      </c>
      <c r="AD22" s="51">
        <v>2</v>
      </c>
      <c r="AE22" s="595" t="str" cm="1">
        <f t="array" aca="1" ref="AE22" ca="1">Ver_flag_visit</f>
        <v>🇲🇦</v>
      </c>
      <c r="AF22" s="32" t="str">
        <f ca="1">A22</f>
        <v>Marruecos</v>
      </c>
      <c r="AG22" s="323">
        <f t="shared" si="84"/>
        <v>1</v>
      </c>
      <c r="AH22" s="195">
        <v>30</v>
      </c>
      <c r="AI22" s="181" t="str">
        <f>AJ22&amp;$B$20</f>
        <v>1C</v>
      </c>
      <c r="AJ22" s="40">
        <v>1</v>
      </c>
      <c r="AK22" s="601" t="str" cm="1">
        <f t="array" aca="1" ref="AK22" ca="1">Ver_flag_visit</f>
        <v>🇧🇷</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6</v>
      </c>
      <c r="AS22" s="36">
        <f t="shared" ca="1" si="87"/>
        <v>2</v>
      </c>
      <c r="AT22" s="41">
        <f t="shared" ca="1" si="87"/>
        <v>4</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v>
      </c>
      <c r="AC23" s="50">
        <v>3</v>
      </c>
      <c r="AD23" s="51">
        <v>0</v>
      </c>
      <c r="AE23" s="595" t="str" cm="1">
        <f t="array" aca="1" ref="AE23" ca="1">Ver_flag_visit</f>
        <v>🇭🇹</v>
      </c>
      <c r="AF23" s="32" t="str">
        <f ca="1">A23</f>
        <v>Haití</v>
      </c>
      <c r="AG23" s="323">
        <f t="shared" si="84"/>
        <v>1</v>
      </c>
      <c r="AH23" s="195">
        <v>29</v>
      </c>
      <c r="AI23" s="181" t="str">
        <f t="shared" ref="AI23:AI25" si="88">AJ23&amp;$B$20</f>
        <v>2C</v>
      </c>
      <c r="AJ23" s="42">
        <v>2</v>
      </c>
      <c r="AK23" s="602" t="str" cm="1">
        <f t="array" aca="1" ref="AK23" ca="1">Ver_flag_visit</f>
        <v>🇲🇦</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5</v>
      </c>
      <c r="AS23" s="39">
        <f t="shared" ca="1" si="87"/>
        <v>1</v>
      </c>
      <c r="AT23" s="43">
        <f t="shared" ca="1" si="87"/>
        <v>4</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7</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str" cm="1">
        <f t="array" aca="1" ref="AB24" ca="1">Ver_flag_local</f>
        <v>🏴󠁧󠁢󠁳󠁣󠁴󠁿</v>
      </c>
      <c r="AC24" s="50">
        <v>1</v>
      </c>
      <c r="AD24" s="51">
        <v>2</v>
      </c>
      <c r="AE24" s="595" t="str" cm="1">
        <f t="array" aca="1" ref="AE24" ca="1">Ver_flag_visit</f>
        <v>🇧🇷</v>
      </c>
      <c r="AF24" s="32" t="str">
        <f ca="1">A21</f>
        <v>Brasil</v>
      </c>
      <c r="AG24" s="323">
        <f t="shared" si="84"/>
        <v>1</v>
      </c>
      <c r="AH24" s="195">
        <v>49</v>
      </c>
      <c r="AI24" s="181" t="str">
        <f t="shared" si="88"/>
        <v>3C</v>
      </c>
      <c r="AJ24" s="42">
        <v>3</v>
      </c>
      <c r="AK24" s="602" t="str" cm="1">
        <f t="array" aca="1" ref="AK24" ca="1">Ver_flag_visit</f>
        <v>🏴󠁧󠁢󠁳󠁣󠁴󠁿</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4</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2</v>
      </c>
      <c r="BK24" s="16">
        <f t="shared" ca="1" si="21"/>
        <v>4</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str" cm="1">
        <f t="array" aca="1" ref="AB25" ca="1">Ver_flag_local</f>
        <v>🇲🇦</v>
      </c>
      <c r="AC25" s="53">
        <v>2</v>
      </c>
      <c r="AD25" s="54">
        <v>0</v>
      </c>
      <c r="AE25" s="596" t="str" cm="1">
        <f t="array" aca="1" ref="AE25" ca="1">Ver_flag_visit</f>
        <v>🇭🇹</v>
      </c>
      <c r="AF25" s="33" t="str">
        <f ca="1">A23</f>
        <v>Haití</v>
      </c>
      <c r="AG25" s="323">
        <f t="shared" si="84"/>
        <v>1</v>
      </c>
      <c r="AH25" s="195">
        <v>50</v>
      </c>
      <c r="AI25" s="181" t="str">
        <f t="shared" si="88"/>
        <v>4C</v>
      </c>
      <c r="AJ25" s="44">
        <v>4</v>
      </c>
      <c r="AK25" s="604" t="str" cm="1">
        <f t="array" aca="1" ref="AK25" ca="1">Ver_flag_visit</f>
        <v>🇭🇹</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7</v>
      </c>
      <c r="AT25" s="48">
        <f t="shared" ca="1" si="87"/>
        <v>-7</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6</v>
      </c>
      <c r="BK25" s="16">
        <f t="shared" ca="1" si="21"/>
        <v>2</v>
      </c>
      <c r="BL25" s="16">
        <f t="shared" ca="1" si="42"/>
        <v>4</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5</v>
      </c>
      <c r="BK26" s="16">
        <f t="shared" ca="1" si="21"/>
        <v>1</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2</v>
      </c>
      <c r="BK27" s="16">
        <f t="shared" ca="1" si="21"/>
        <v>2</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x14ac:dyDescent="0.25">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P.2 (2)</v>
      </c>
      <c r="F28" s="16" t="str">
        <f t="shared" ref="F28:F33" ca="1" si="93">IF(D28="Pendiente","-",INDEX($BT$6:$BT$53,MATCH($AF28,$BD$6:$BD$53,0)))</f>
        <v>P.2 (2)</v>
      </c>
      <c r="G28" s="16"/>
      <c r="H28" s="16" t="str">
        <f t="shared" ref="H28:H33" ca="1" si="94">IF(D28="Pendiente","-",INDEX($BZ$6:$BZ$53,MATCH($AA28,$BD$6:$BD$53,0)))</f>
        <v>P.2 (2)</v>
      </c>
      <c r="I28" s="16" t="str">
        <f t="shared" ref="I28:I33" ca="1" si="95">IF(D28="Pendiente","-",INDEX($BZ$6:$BZ$53,MATCH($AF28,$BD$6:$BD$53,0)))</f>
        <v>P.2 (2)</v>
      </c>
      <c r="J28" s="16"/>
      <c r="K28" s="16" t="str">
        <f t="shared" ref="K28:K33" ca="1" si="96">IF(D28="Pendiente","-",INDEX($CE$6:$CE$53,MATCH($AA28,$BD$6:$BD$53,0)))</f>
        <v>P.2 (2)</v>
      </c>
      <c r="L28" s="16" t="str">
        <f t="shared" ref="L28:L33" ca="1" si="97">IF(D28="Pendiente","-",INDEX($CE$6:$CE$53,MATCH($AF28,$BD$6:$BD$53,0)))</f>
        <v>P.2 (2)</v>
      </c>
      <c r="M28" s="16"/>
      <c r="N28" s="16" t="str">
        <f t="shared" ref="N28:N33" ca="1" si="98">IF(D28="Pendiente","-",INDEX($CH$6:$CH$53,MATCH($AA28,$BD$6:$BD$53,0)))</f>
        <v>P.2 (2)</v>
      </c>
      <c r="O28" s="16" t="str">
        <f t="shared" ref="O28:O33" ca="1" si="99">IF(D28="Pendiente","-",INDEX($CH$6:$CH$53,MATCH($AF28,$BD$6:$BD$53,0)))</f>
        <v>P.2 (2)</v>
      </c>
      <c r="P28" s="16"/>
      <c r="Q28" s="16" t="str">
        <f t="shared" ref="Q28:Q33" ca="1" si="100">IF(D28="Pendiente","-",INDEX($CN$6:$CN$53,MATCH($AA28,$BD$6:$BD$53,0)))</f>
        <v>P.2 (2)</v>
      </c>
      <c r="R28" s="16" t="str">
        <f t="shared" ref="R28:R33" ca="1" si="101">IF(D28="Pendiente","-",INDEX($CN$6:$CN$53,MATCH($AF28,$BD$6:$BD$53,0)))</f>
        <v>P.2 (2)</v>
      </c>
      <c r="S28" s="16"/>
      <c r="T28" s="16" t="str">
        <f t="shared" ref="T28:T33" ca="1" si="102">IF(D28="Pendiente","-",INDEX($CS$6:$CS$53,MATCH($AA28,$BD$6:$BD$53,0)))</f>
        <v>P.2 (2)</v>
      </c>
      <c r="U28" s="16" t="str">
        <f t="shared" ref="U28:U33" ca="1" si="103">IF(D28="Pendiente","-",INDEX($CS$6:$CS$53,MATCH($AF28,$BD$6:$BD$53,0)))</f>
        <v>P.2 (2)</v>
      </c>
      <c r="V28" s="17"/>
      <c r="W28" s="681" t="s">
        <v>74</v>
      </c>
      <c r="X28" s="24">
        <f ca="1">Horarios!C28</f>
        <v>46186.125</v>
      </c>
      <c r="Y28" s="25">
        <f ca="1">Horarios!C28</f>
        <v>46186.125</v>
      </c>
      <c r="Z28" s="26" t="str">
        <f>$Z$4</f>
        <v>J1</v>
      </c>
      <c r="AA28" s="27" t="str">
        <f ca="1">A29</f>
        <v>Estados Unidos</v>
      </c>
      <c r="AB28" s="49" t="str" cm="1">
        <f t="array" aca="1" ref="AB28" ca="1">Ver_flag_local</f>
        <v>🇺🇸</v>
      </c>
      <c r="AC28" s="50">
        <v>1</v>
      </c>
      <c r="AD28" s="51">
        <v>1</v>
      </c>
      <c r="AE28" s="595" t="str" cm="1">
        <f t="array" aca="1" ref="AE28" ca="1">Ver_flag_visit</f>
        <v>🇵🇾</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¡EMPATE! Puedes seleccionar el orden de los empatados.</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1</v>
      </c>
      <c r="BK28" s="16">
        <f t="shared" ca="1" si="21"/>
        <v>2</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x14ac:dyDescent="0.2">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v>
      </c>
      <c r="AC29" s="50">
        <v>0</v>
      </c>
      <c r="AD29" s="51">
        <v>2</v>
      </c>
      <c r="AE29" s="595" t="str" cm="1">
        <f t="array" aca="1" ref="AE29" ca="1">Ver_flag_visit</f>
        <v>🇹🇷</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2</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0</v>
      </c>
      <c r="BK29" s="16">
        <f t="shared" ca="1" si="21"/>
        <v>3</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x14ac:dyDescent="0.2">
      <c r="A30" s="16" t="str">
        <f ca="1">+Equipos!B15</f>
        <v>Paraguay</v>
      </c>
      <c r="B30" s="16"/>
      <c r="C30" s="16"/>
      <c r="D30" s="16" t="str">
        <f t="shared" si="91"/>
        <v>Local</v>
      </c>
      <c r="E30" s="16" t="str">
        <f t="shared" ca="1" si="92"/>
        <v>P.2 (2)</v>
      </c>
      <c r="F30" s="16" t="str">
        <f t="shared" ca="1" si="93"/>
        <v>-</v>
      </c>
      <c r="G30" s="16"/>
      <c r="H30" s="16" t="str">
        <f t="shared" ca="1" si="94"/>
        <v>P.2 (2)</v>
      </c>
      <c r="I30" s="16" t="str">
        <f t="shared" ca="1" si="95"/>
        <v>-</v>
      </c>
      <c r="J30" s="16"/>
      <c r="K30" s="16" t="str">
        <f t="shared" ca="1" si="96"/>
        <v>P.2 (2)</v>
      </c>
      <c r="L30" s="16" t="str">
        <f t="shared" ca="1" si="97"/>
        <v>-</v>
      </c>
      <c r="M30" s="16"/>
      <c r="N30" s="16" t="str">
        <f t="shared" ca="1" si="98"/>
        <v>P.2 (2)</v>
      </c>
      <c r="O30" s="16" t="str">
        <f t="shared" ca="1" si="99"/>
        <v>-</v>
      </c>
      <c r="P30" s="16"/>
      <c r="Q30" s="16" t="str">
        <f t="shared" ca="1" si="100"/>
        <v>P.2 (2)</v>
      </c>
      <c r="R30" s="16" t="str">
        <f t="shared" ca="1" si="101"/>
        <v>-</v>
      </c>
      <c r="S30" s="16"/>
      <c r="T30" s="16" t="str">
        <f t="shared" ca="1" si="102"/>
        <v>P.2 (2)</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v>
      </c>
      <c r="AC30" s="50">
        <v>1</v>
      </c>
      <c r="AD30" s="51">
        <v>0</v>
      </c>
      <c r="AE30" s="595" t="str" cm="1">
        <f t="array" aca="1" ref="AE30" ca="1">Ver_flag_visit</f>
        <v>🇦🇺</v>
      </c>
      <c r="AF30" s="32" t="str">
        <f ca="1">A31</f>
        <v>Australia</v>
      </c>
      <c r="AG30" s="323">
        <f t="shared" si="104"/>
        <v>1</v>
      </c>
      <c r="AH30" s="195">
        <v>32</v>
      </c>
      <c r="AI30" s="181" t="str">
        <f>AJ30&amp;$B$28</f>
        <v>1D</v>
      </c>
      <c r="AJ30" s="40">
        <v>1</v>
      </c>
      <c r="AK30" s="601" t="str" cm="1">
        <f t="array" aca="1" ref="AK30" ca="1">Ver_flag_visit</f>
        <v>🇹🇷</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2</v>
      </c>
      <c r="AT30" s="41">
        <f t="shared" ca="1" si="107"/>
        <v>4</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5</v>
      </c>
      <c r="BK30" s="16">
        <f t="shared" ca="1" si="21"/>
        <v>1</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x14ac:dyDescent="0.2">
      <c r="A31" s="16" t="str">
        <f ca="1">+Equipos!B16</f>
        <v>Australia</v>
      </c>
      <c r="B31" s="16"/>
      <c r="C31" s="16"/>
      <c r="D31" s="16" t="str">
        <f t="shared" si="91"/>
        <v>Local</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81"/>
      <c r="X31" s="24">
        <f ca="1">Horarios!C31</f>
        <v>46193.208333333336</v>
      </c>
      <c r="Y31" s="25">
        <f ca="1">Horarios!C31</f>
        <v>46193.208333333336</v>
      </c>
      <c r="Z31" s="26" t="str">
        <f>$Z$6</f>
        <v>J2</v>
      </c>
      <c r="AA31" s="27" t="str">
        <f ca="1">A32</f>
        <v>Turquía</v>
      </c>
      <c r="AB31" s="49" t="str" cm="1">
        <f t="array" aca="1" ref="AB31" ca="1">Ver_flag_local</f>
        <v>🇹🇷</v>
      </c>
      <c r="AC31" s="50">
        <v>2</v>
      </c>
      <c r="AD31" s="51">
        <v>1</v>
      </c>
      <c r="AE31" s="595" t="str" cm="1">
        <f t="array" aca="1" ref="AE31" ca="1">Ver_flag_visit</f>
        <v>🇵🇾</v>
      </c>
      <c r="AF31" s="32" t="str">
        <f ca="1">A30</f>
        <v>Paraguay</v>
      </c>
      <c r="AG31" s="323">
        <f t="shared" si="104"/>
        <v>1</v>
      </c>
      <c r="AH31" s="195">
        <v>31</v>
      </c>
      <c r="AI31" s="181" t="str">
        <f t="shared" ref="AI31:AI33" si="108">AJ31&amp;$B$28</f>
        <v>2D</v>
      </c>
      <c r="AJ31" s="42">
        <v>2</v>
      </c>
      <c r="AK31" s="602" t="str" cm="1">
        <f t="array" aca="1" ref="AK31" ca="1">Ver_flag_visit</f>
        <v>🇺🇸</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3</v>
      </c>
      <c r="AS31" s="39">
        <f t="shared" ca="1" si="107"/>
        <v>3</v>
      </c>
      <c r="AT31" s="43">
        <f t="shared" ca="1" si="107"/>
        <v>0</v>
      </c>
      <c r="AU31" s="330">
        <f ca="1">INDEX($DL$6:$DL$53,MATCH(AI31,$DP$6:$DP$53,0))</f>
        <v>2</v>
      </c>
      <c r="AV31" s="182" t="str">
        <f ca="1">INDEX($BD$6:$BD$53,MATCH(AI31,$BM$6:$BM$53,0))</f>
        <v>Estados Unidos</v>
      </c>
      <c r="AW31" s="210">
        <v>2</v>
      </c>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2</v>
      </c>
      <c r="BK31" s="16">
        <f t="shared" ca="1" si="21"/>
        <v>2</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x14ac:dyDescent="0.2">
      <c r="A32" s="16" t="str">
        <f ca="1">+Equipos!B17</f>
        <v>Turquía</v>
      </c>
      <c r="B32" s="16"/>
      <c r="C32" s="16"/>
      <c r="D32" s="16" t="str">
        <f t="shared" si="91"/>
        <v>Local</v>
      </c>
      <c r="E32" s="16" t="str">
        <f t="shared" ca="1" si="92"/>
        <v>-</v>
      </c>
      <c r="F32" s="16" t="str">
        <f t="shared" ca="1" si="93"/>
        <v>P.2 (2)</v>
      </c>
      <c r="G32" s="16"/>
      <c r="H32" s="16" t="str">
        <f t="shared" ca="1" si="94"/>
        <v>-</v>
      </c>
      <c r="I32" s="16" t="str">
        <f t="shared" ca="1" si="95"/>
        <v>P.2 (2)</v>
      </c>
      <c r="J32" s="16"/>
      <c r="K32" s="16" t="str">
        <f t="shared" ca="1" si="96"/>
        <v>-</v>
      </c>
      <c r="L32" s="16" t="str">
        <f t="shared" ca="1" si="97"/>
        <v>P.2 (2)</v>
      </c>
      <c r="M32" s="16"/>
      <c r="N32" s="16" t="str">
        <f t="shared" ca="1" si="98"/>
        <v>-</v>
      </c>
      <c r="O32" s="16" t="str">
        <f t="shared" ca="1" si="99"/>
        <v>P.2 (2)</v>
      </c>
      <c r="P32" s="16"/>
      <c r="Q32" s="16" t="str">
        <f t="shared" ca="1" si="100"/>
        <v>-</v>
      </c>
      <c r="R32" s="16" t="str">
        <f t="shared" ca="1" si="101"/>
        <v>P.2 (2)</v>
      </c>
      <c r="S32" s="16"/>
      <c r="T32" s="16" t="str">
        <f t="shared" ca="1" si="102"/>
        <v>-</v>
      </c>
      <c r="U32" s="16" t="str">
        <f t="shared" ca="1" si="103"/>
        <v>P.2 (2)</v>
      </c>
      <c r="V32" s="17"/>
      <c r="W32" s="681"/>
      <c r="X32" s="24">
        <f ca="1">Horarios!C32</f>
        <v>46199.166666666664</v>
      </c>
      <c r="Y32" s="25">
        <f ca="1">Horarios!C32</f>
        <v>46199.166666666664</v>
      </c>
      <c r="Z32" s="26" t="str">
        <f>$Z$8</f>
        <v>J3</v>
      </c>
      <c r="AA32" s="27" t="str">
        <f ca="1">A32</f>
        <v>Turquía</v>
      </c>
      <c r="AB32" s="49" t="str" cm="1">
        <f t="array" aca="1" ref="AB32" ca="1">Ver_flag_local</f>
        <v>🇹🇷</v>
      </c>
      <c r="AC32" s="50">
        <v>2</v>
      </c>
      <c r="AD32" s="51">
        <v>1</v>
      </c>
      <c r="AE32" s="595" t="str" cm="1">
        <f t="array" aca="1" ref="AE32" ca="1">Ver_flag_visit</f>
        <v>🇺🇸</v>
      </c>
      <c r="AF32" s="32" t="str">
        <f ca="1">A29</f>
        <v>Estados Unidos</v>
      </c>
      <c r="AG32" s="323">
        <f t="shared" si="104"/>
        <v>1</v>
      </c>
      <c r="AH32" s="195">
        <v>59</v>
      </c>
      <c r="AI32" s="181" t="str">
        <f t="shared" si="108"/>
        <v>3D</v>
      </c>
      <c r="AJ32" s="42">
        <v>3</v>
      </c>
      <c r="AK32" s="602" t="str" cm="1">
        <f t="array" aca="1" ref="AK32" ca="1">Ver_flag_visit</f>
        <v>🇵🇾</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3</v>
      </c>
      <c r="AS32" s="39">
        <f t="shared" ca="1" si="107"/>
        <v>3</v>
      </c>
      <c r="AT32" s="43">
        <f t="shared" ca="1" si="107"/>
        <v>0</v>
      </c>
      <c r="AU32" s="330">
        <f ca="1">INDEX($DL$6:$DL$53,MATCH(AI32,$DP$6:$DP$53,0))</f>
        <v>2</v>
      </c>
      <c r="AV32" s="182" t="str">
        <f ca="1">INDEX($BD$6:$BD$53,MATCH(AI32,$BM$6:$BM$53,0))</f>
        <v>Paraguay</v>
      </c>
      <c r="AW32" s="210">
        <v>3</v>
      </c>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1</v>
      </c>
      <c r="BK32" s="16">
        <f t="shared" ca="1" si="21"/>
        <v>3</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x14ac:dyDescent="0.25">
      <c r="A33" s="16"/>
      <c r="B33" s="16"/>
      <c r="C33" s="16"/>
      <c r="D33" s="16" t="str">
        <f t="shared" si="91"/>
        <v>Local</v>
      </c>
      <c r="E33" s="16" t="str">
        <f t="shared" ca="1" si="92"/>
        <v>P.2 (2)</v>
      </c>
      <c r="F33" s="16" t="str">
        <f t="shared" ca="1" si="93"/>
        <v>-</v>
      </c>
      <c r="G33" s="16"/>
      <c r="H33" s="16" t="str">
        <f t="shared" ca="1" si="94"/>
        <v>P.2 (2)</v>
      </c>
      <c r="I33" s="16" t="str">
        <f t="shared" ca="1" si="95"/>
        <v>-</v>
      </c>
      <c r="J33" s="16"/>
      <c r="K33" s="16" t="str">
        <f t="shared" ca="1" si="96"/>
        <v>P.2 (2)</v>
      </c>
      <c r="L33" s="16" t="str">
        <f t="shared" ca="1" si="97"/>
        <v>-</v>
      </c>
      <c r="M33" s="16"/>
      <c r="N33" s="16" t="str">
        <f t="shared" ca="1" si="98"/>
        <v>P.2 (2)</v>
      </c>
      <c r="O33" s="16" t="str">
        <f t="shared" ca="1" si="99"/>
        <v>-</v>
      </c>
      <c r="P33" s="16"/>
      <c r="Q33" s="16" t="str">
        <f t="shared" ca="1" si="100"/>
        <v>P.2 (2)</v>
      </c>
      <c r="R33" s="16" t="str">
        <f t="shared" ca="1" si="101"/>
        <v>-</v>
      </c>
      <c r="S33" s="16"/>
      <c r="T33" s="16" t="str">
        <f t="shared" ca="1" si="102"/>
        <v>P.2 (2)</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v>
      </c>
      <c r="AC33" s="53">
        <v>1</v>
      </c>
      <c r="AD33" s="54">
        <v>0</v>
      </c>
      <c r="AE33" s="596" t="str" cm="1">
        <f t="array" aca="1" ref="AE33" ca="1">Ver_flag_visit</f>
        <v>🇦🇺</v>
      </c>
      <c r="AF33" s="33" t="str">
        <f ca="1">A31</f>
        <v>Australia</v>
      </c>
      <c r="AG33" s="323">
        <f t="shared" si="104"/>
        <v>1</v>
      </c>
      <c r="AH33" s="195">
        <v>60</v>
      </c>
      <c r="AI33" s="181" t="str">
        <f t="shared" si="108"/>
        <v>4D</v>
      </c>
      <c r="AJ33" s="44">
        <v>4</v>
      </c>
      <c r="AK33" s="604" t="str" cm="1">
        <f t="array" aca="1" ref="AK33" ca="1">Ver_flag_visit</f>
        <v>🇦🇺</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4</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3</v>
      </c>
      <c r="BL33" s="16">
        <f t="shared" ca="1" si="42"/>
        <v>-2</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6</v>
      </c>
      <c r="BK34" s="16">
        <f t="shared" ca="1" si="21"/>
        <v>0</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v>
      </c>
      <c r="AC36" s="50">
        <v>3</v>
      </c>
      <c r="AD36" s="51">
        <v>0</v>
      </c>
      <c r="AE36" s="595" t="str" cm="1">
        <f t="array" aca="1" ref="AE36" ca="1">Ver_flag_visit</f>
        <v>🇨🇼</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4</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x14ac:dyDescent="0.2">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v>
      </c>
      <c r="AC37" s="50">
        <v>0</v>
      </c>
      <c r="AD37" s="51">
        <v>2</v>
      </c>
      <c r="AE37" s="595" t="str" cm="1">
        <f t="array" aca="1" ref="AE37" ca="1">Ver_flag_visit</f>
        <v>🇪🇨</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4</v>
      </c>
      <c r="BK37" s="16">
        <f t="shared" ca="1" si="21"/>
        <v>1</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 customHeight="1" x14ac:dyDescent="0.2">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v>
      </c>
      <c r="AC38" s="50">
        <v>2</v>
      </c>
      <c r="AD38" s="51">
        <v>1</v>
      </c>
      <c r="AE38" s="595" t="str" cm="1">
        <f t="array" aca="1" ref="AE38" ca="1">Ver_flag_visit</f>
        <v>🇨🇮</v>
      </c>
      <c r="AF38" s="32" t="str">
        <f ca="1">A39</f>
        <v>Costa de Marfil</v>
      </c>
      <c r="AG38" s="323">
        <f t="shared" si="124"/>
        <v>1</v>
      </c>
      <c r="AH38" s="195">
        <v>33</v>
      </c>
      <c r="AI38" s="181" t="str">
        <f>AJ38&amp;$B$36</f>
        <v>1E</v>
      </c>
      <c r="AJ38" s="40">
        <v>1</v>
      </c>
      <c r="AK38" s="601" t="str" cm="1">
        <f t="array" aca="1" ref="AK38" ca="1">Ver_flag_visit</f>
        <v>🇩🇪</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2</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5</v>
      </c>
      <c r="BK38" s="16">
        <f t="shared" ca="1" si="21"/>
        <v>1</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x14ac:dyDescent="0.2">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v>
      </c>
      <c r="AC39" s="50">
        <v>3</v>
      </c>
      <c r="AD39" s="51">
        <v>0</v>
      </c>
      <c r="AE39" s="595" t="str" cm="1">
        <f t="array" aca="1" ref="AE39" ca="1">Ver_flag_visit</f>
        <v>🇨🇼</v>
      </c>
      <c r="AF39" s="32" t="str">
        <f ca="1">A38</f>
        <v>Curazao</v>
      </c>
      <c r="AG39" s="323">
        <f t="shared" si="124"/>
        <v>1</v>
      </c>
      <c r="AH39" s="195">
        <v>34</v>
      </c>
      <c r="AI39" s="181" t="str">
        <f t="shared" ref="AI39:AI41" si="128">AJ39&amp;$B$36</f>
        <v>2E</v>
      </c>
      <c r="AJ39" s="42">
        <v>2</v>
      </c>
      <c r="AK39" s="602" t="str" cm="1">
        <f t="array" aca="1" ref="AK39" ca="1">Ver_flag_visit</f>
        <v>🇪🇨</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6</v>
      </c>
      <c r="AS39" s="39">
        <f t="shared" ca="1" si="127"/>
        <v>2</v>
      </c>
      <c r="AT39" s="43">
        <f t="shared" ca="1" si="127"/>
        <v>4</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2</v>
      </c>
      <c r="BF39" s="16">
        <f t="shared" ca="1" si="41"/>
        <v>3</v>
      </c>
      <c r="BG39" s="16">
        <f t="shared" ca="1" si="17"/>
        <v>0</v>
      </c>
      <c r="BH39" s="16">
        <f t="shared" ca="1" si="18"/>
        <v>2</v>
      </c>
      <c r="BI39" s="16">
        <f t="shared" ca="1" si="19"/>
        <v>1</v>
      </c>
      <c r="BJ39" s="16">
        <f t="shared" ca="1" si="20"/>
        <v>1</v>
      </c>
      <c r="BK39" s="16">
        <f t="shared" ca="1" si="21"/>
        <v>3</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2</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x14ac:dyDescent="0.2">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v>
      </c>
      <c r="AC40" s="50">
        <v>0</v>
      </c>
      <c r="AD40" s="51">
        <v>1</v>
      </c>
      <c r="AE40" s="595" t="str" cm="1">
        <f t="array" aca="1" ref="AE40" ca="1">Ver_flag_visit</f>
        <v>🇨🇮</v>
      </c>
      <c r="AF40" s="32" t="str">
        <f ca="1">A39</f>
        <v>Costa de Marfil</v>
      </c>
      <c r="AG40" s="323">
        <f t="shared" si="124"/>
        <v>1</v>
      </c>
      <c r="AH40" s="195">
        <v>55</v>
      </c>
      <c r="AI40" s="181" t="str">
        <f t="shared" si="128"/>
        <v>3E</v>
      </c>
      <c r="AJ40" s="42">
        <v>3</v>
      </c>
      <c r="AK40" s="602" t="str" cm="1">
        <f t="array" aca="1" ref="AK40" ca="1">Ver_flag_visit</f>
        <v>🇨🇮</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2</v>
      </c>
      <c r="AS40" s="39">
        <f t="shared" ca="1" si="127"/>
        <v>4</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0</v>
      </c>
      <c r="BK40" s="16">
        <f t="shared" ca="1" si="21"/>
        <v>4</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x14ac:dyDescent="0.25">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v>
      </c>
      <c r="AC41" s="53">
        <v>1</v>
      </c>
      <c r="AD41" s="54">
        <v>2</v>
      </c>
      <c r="AE41" s="596" t="str" cm="1">
        <f t="array" aca="1" ref="AE41" ca="1">Ver_flag_visit</f>
        <v>🇩🇪</v>
      </c>
      <c r="AF41" s="33" t="str">
        <f ca="1">A37</f>
        <v>Alemania</v>
      </c>
      <c r="AG41" s="323">
        <f t="shared" si="124"/>
        <v>1</v>
      </c>
      <c r="AH41" s="195">
        <v>56</v>
      </c>
      <c r="AI41" s="181" t="str">
        <f t="shared" si="128"/>
        <v>4E</v>
      </c>
      <c r="AJ41" s="44">
        <v>4</v>
      </c>
      <c r="AK41" s="604" t="str" cm="1">
        <f t="array" aca="1" ref="AK41" ca="1">Ver_flag_visit</f>
        <v>🇨🇼</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7</v>
      </c>
      <c r="AT41" s="48">
        <f t="shared" ca="1" si="127"/>
        <v>-7</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5</v>
      </c>
      <c r="BF41" s="16">
        <f t="shared" ca="1" si="41"/>
        <v>3</v>
      </c>
      <c r="BG41" s="16">
        <f t="shared" ca="1" si="17"/>
        <v>1</v>
      </c>
      <c r="BH41" s="16">
        <f t="shared" ca="1" si="18"/>
        <v>2</v>
      </c>
      <c r="BI41" s="16">
        <f t="shared" ca="1" si="19"/>
        <v>0</v>
      </c>
      <c r="BJ41" s="16">
        <f t="shared" ca="1" si="20"/>
        <v>4</v>
      </c>
      <c r="BK41" s="16">
        <f t="shared" ca="1" si="21"/>
        <v>2</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5</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2</v>
      </c>
      <c r="BK43" s="16">
        <f t="shared" ca="1" si="21"/>
        <v>4</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x14ac:dyDescent="0.25">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v>
      </c>
      <c r="AC44" s="50">
        <v>2</v>
      </c>
      <c r="AD44" s="51">
        <v>1</v>
      </c>
      <c r="AE44" s="595" t="str" cm="1">
        <f t="array" aca="1" ref="AE44" ca="1">Ver_flag_visit</f>
        <v>🇯🇵</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v>
      </c>
      <c r="AC45" s="50">
        <v>1</v>
      </c>
      <c r="AD45" s="51">
        <v>0</v>
      </c>
      <c r="AE45" s="595" t="str" cm="1">
        <f t="array" aca="1" ref="AE45" ca="1">Ver_flag_visit</f>
        <v>🇹🇳</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5</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v>
      </c>
      <c r="AC46" s="50">
        <v>1</v>
      </c>
      <c r="AD46" s="51">
        <v>0</v>
      </c>
      <c r="AE46" s="595" t="str" cm="1">
        <f t="array" aca="1" ref="AE46" ca="1">Ver_flag_visit</f>
        <v>🇸🇪</v>
      </c>
      <c r="AF46" s="32" t="str">
        <f ca="1">A47</f>
        <v>Suecia</v>
      </c>
      <c r="AG46" s="323">
        <f t="shared" si="144"/>
        <v>1</v>
      </c>
      <c r="AH46" s="195">
        <v>35</v>
      </c>
      <c r="AI46" s="181" t="str">
        <f>AJ46&amp;$B$44</f>
        <v>1F</v>
      </c>
      <c r="AJ46" s="40">
        <v>1</v>
      </c>
      <c r="AK46" s="601" t="str" cm="1">
        <f t="array" aca="1" ref="AK46" ca="1">Ver_flag_visit</f>
        <v>🇳🇱</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5</v>
      </c>
      <c r="AS46" s="36">
        <f t="shared" ca="1" si="147"/>
        <v>1</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5</v>
      </c>
      <c r="BK46" s="16">
        <f t="shared" ca="1" si="21"/>
        <v>1</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4</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x14ac:dyDescent="0.2">
      <c r="A47" s="16" t="str">
        <f ca="1">+Equipos!B24</f>
        <v>Suecia</v>
      </c>
      <c r="B47" s="16"/>
      <c r="C47" s="16"/>
      <c r="D47" s="16" t="str">
        <f t="shared" si="131"/>
        <v>Empate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v>
      </c>
      <c r="AC47" s="50">
        <v>0</v>
      </c>
      <c r="AD47" s="51">
        <v>0</v>
      </c>
      <c r="AE47" s="595" t="str" cm="1">
        <f t="array" aca="1" ref="AE47" ca="1">Ver_flag_visit</f>
        <v>🇯🇵</v>
      </c>
      <c r="AF47" s="32" t="str">
        <f ca="1">A46</f>
        <v>Japón</v>
      </c>
      <c r="AG47" s="323">
        <f t="shared" si="144"/>
        <v>1</v>
      </c>
      <c r="AH47" s="195">
        <v>36</v>
      </c>
      <c r="AI47" s="181" t="str">
        <f t="shared" ref="AI47:AI49" si="148">AJ47&amp;$B$44</f>
        <v>2F</v>
      </c>
      <c r="AJ47" s="42">
        <v>2</v>
      </c>
      <c r="AK47" s="602" t="str" cm="1">
        <f t="array" aca="1" ref="AK47" ca="1">Ver_flag_visit</f>
        <v>🇯🇵</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2</v>
      </c>
      <c r="AS47" s="39">
        <f t="shared" ca="1" si="147"/>
        <v>2</v>
      </c>
      <c r="AT47" s="43">
        <f t="shared" ca="1" si="147"/>
        <v>0</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4</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 customHeight="1" x14ac:dyDescent="0.2">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v>
      </c>
      <c r="AC48" s="50">
        <v>1</v>
      </c>
      <c r="AD48" s="51">
        <v>0</v>
      </c>
      <c r="AE48" s="595" t="str" cm="1">
        <f t="array" aca="1" ref="AE48" ca="1">Ver_flag_visit</f>
        <v>🇸🇪</v>
      </c>
      <c r="AF48" s="32" t="str">
        <f ca="1">A47</f>
        <v>Suecia</v>
      </c>
      <c r="AG48" s="323">
        <f t="shared" si="144"/>
        <v>1</v>
      </c>
      <c r="AH48" s="195">
        <v>57</v>
      </c>
      <c r="AI48" s="181" t="str">
        <f t="shared" si="148"/>
        <v>3F</v>
      </c>
      <c r="AJ48" s="42">
        <v>3</v>
      </c>
      <c r="AK48" s="602" t="str" cm="1">
        <f t="array" aca="1" ref="AK48" ca="1">Ver_flag_visit</f>
        <v>🇸🇪</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1</v>
      </c>
      <c r="AS48" s="39">
        <f t="shared" ca="1" si="147"/>
        <v>2</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5</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-4</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v>
      </c>
      <c r="AC49" s="53">
        <v>0</v>
      </c>
      <c r="AD49" s="54">
        <v>2</v>
      </c>
      <c r="AE49" s="596" t="str" cm="1">
        <f t="array" aca="1" ref="AE49" ca="1">Ver_flag_visit</f>
        <v>🇳🇱</v>
      </c>
      <c r="AF49" s="33" t="str">
        <f ca="1">A45</f>
        <v>Países Bajos</v>
      </c>
      <c r="AG49" s="323">
        <f t="shared" si="144"/>
        <v>1</v>
      </c>
      <c r="AH49" s="195">
        <v>58</v>
      </c>
      <c r="AI49" s="181" t="str">
        <f t="shared" si="148"/>
        <v>4F</v>
      </c>
      <c r="AJ49" s="44">
        <v>4</v>
      </c>
      <c r="AK49" s="604" t="str" cm="1">
        <f t="array" aca="1" ref="AK49" ca="1">Ver_flag_visit</f>
        <v>🇹🇳</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0</v>
      </c>
      <c r="AS49" s="47">
        <f t="shared" ca="1" si="147"/>
        <v>3</v>
      </c>
      <c r="AT49" s="48">
        <f t="shared" ca="1" si="147"/>
        <v>-3</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5</v>
      </c>
      <c r="BK50" s="16">
        <f t="shared" ca="1" si="21"/>
        <v>1</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v>
      </c>
      <c r="AC52" s="50">
        <v>2</v>
      </c>
      <c r="AD52" s="51">
        <v>1</v>
      </c>
      <c r="AE52" s="595" t="str" cm="1">
        <f t="array" aca="1" ref="AE52" ca="1">Ver_flag_visit</f>
        <v>🇪🇬</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1</v>
      </c>
      <c r="BK52" s="16">
        <f t="shared" ca="1" si="21"/>
        <v>2</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x14ac:dyDescent="0.2">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v>
      </c>
      <c r="AC53" s="50">
        <v>1</v>
      </c>
      <c r="AD53" s="51">
        <v>1</v>
      </c>
      <c r="AE53" s="595" t="str" cm="1">
        <f t="array" aca="1" ref="AE53" ca="1">Ver_flag_visit</f>
        <v>🇳🇿</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5</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x14ac:dyDescent="0.2">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str" cm="1">
        <f t="array" aca="1" ref="AB54" ca="1">Ver_flag_local</f>
        <v>🇧🇪</v>
      </c>
      <c r="AC54" s="50">
        <v>2</v>
      </c>
      <c r="AD54" s="51">
        <v>0</v>
      </c>
      <c r="AE54" s="595" t="str" cm="1">
        <f t="array" aca="1" ref="AE54" ca="1">Ver_flag_visit</f>
        <v>🇮🇷</v>
      </c>
      <c r="AF54" s="32" t="str">
        <f ca="1">A55</f>
        <v>Irán</v>
      </c>
      <c r="AG54" s="323">
        <f t="shared" si="162"/>
        <v>1</v>
      </c>
      <c r="AH54" s="195">
        <v>39</v>
      </c>
      <c r="AI54" s="181" t="str">
        <f>AJ54&amp;$B$52</f>
        <v>1G</v>
      </c>
      <c r="AJ54" s="40">
        <v>1</v>
      </c>
      <c r="AK54" s="601" t="str" cm="1">
        <f t="array" aca="1" ref="AK54" ca="1">Ver_flag_visit</f>
        <v>🇧🇪</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5</v>
      </c>
      <c r="AS54" s="36">
        <f t="shared" ca="1" si="165"/>
        <v>1</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v>
      </c>
      <c r="AC55" s="50">
        <v>0</v>
      </c>
      <c r="AD55" s="51">
        <v>1</v>
      </c>
      <c r="AE55" s="595" t="str" cm="1">
        <f t="array" aca="1" ref="AE55" ca="1">Ver_flag_visit</f>
        <v>🇪🇬</v>
      </c>
      <c r="AF55" s="32" t="str">
        <f ca="1">A54</f>
        <v>Egipto</v>
      </c>
      <c r="AG55" s="323">
        <f t="shared" si="162"/>
        <v>1</v>
      </c>
      <c r="AH55" s="195">
        <v>40</v>
      </c>
      <c r="AI55" s="181" t="str">
        <f t="shared" ref="AI55:AI57" si="166">AJ55&amp;$B$52</f>
        <v>2G</v>
      </c>
      <c r="AJ55" s="42">
        <v>2</v>
      </c>
      <c r="AK55" s="602" t="str" cm="1">
        <f t="array" aca="1" ref="AK55" ca="1">Ver_flag_visit</f>
        <v>🇪🇬</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2</v>
      </c>
      <c r="AS55" s="39">
        <f t="shared" ca="1" si="165"/>
        <v>2</v>
      </c>
      <c r="AT55" s="43">
        <f t="shared" ca="1" si="165"/>
        <v>0</v>
      </c>
      <c r="AU55" s="330">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str" cm="1">
        <f t="array" aca="1" ref="AB56" ca="1">Ver_flag_local</f>
        <v>🇪🇬</v>
      </c>
      <c r="AC56" s="50">
        <v>0</v>
      </c>
      <c r="AD56" s="51">
        <v>0</v>
      </c>
      <c r="AE56" s="595" t="str" cm="1">
        <f t="array" aca="1" ref="AE56" ca="1">Ver_flag_visit</f>
        <v>🇮🇷</v>
      </c>
      <c r="AF56" s="32" t="str">
        <f ca="1">A55</f>
        <v>Irán</v>
      </c>
      <c r="AG56" s="323">
        <f t="shared" si="162"/>
        <v>1</v>
      </c>
      <c r="AH56" s="195">
        <v>63</v>
      </c>
      <c r="AI56" s="181" t="str">
        <f t="shared" si="166"/>
        <v>3G</v>
      </c>
      <c r="AJ56" s="42">
        <v>3</v>
      </c>
      <c r="AK56" s="602" t="str" cm="1">
        <f t="array" aca="1" ref="AK56" ca="1">Ver_flag_visit</f>
        <v>🇮🇷</v>
      </c>
      <c r="AL56" s="37" t="str">
        <f ca="1">IFERROR(INDEX($BD$6:$BD$53,MATCH(AI56,$BN$6:$BN$53,0)),"")</f>
        <v>Irán</v>
      </c>
      <c r="AM56" s="38">
        <f t="shared" ca="1" si="165"/>
        <v>2</v>
      </c>
      <c r="AN56" s="39">
        <f t="shared" ca="1" si="165"/>
        <v>3</v>
      </c>
      <c r="AO56" s="39">
        <f t="shared" ca="1" si="165"/>
        <v>0</v>
      </c>
      <c r="AP56" s="39">
        <f t="shared" ca="1" si="165"/>
        <v>2</v>
      </c>
      <c r="AQ56" s="39">
        <f t="shared" ca="1" si="165"/>
        <v>1</v>
      </c>
      <c r="AR56" s="39">
        <f t="shared" ca="1" si="165"/>
        <v>1</v>
      </c>
      <c r="AS56" s="39">
        <f t="shared" ca="1" si="165"/>
        <v>3</v>
      </c>
      <c r="AT56" s="43">
        <f t="shared" ca="1" si="165"/>
        <v>-2</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v>
      </c>
      <c r="AC57" s="53">
        <v>0</v>
      </c>
      <c r="AD57" s="54">
        <v>1</v>
      </c>
      <c r="AE57" s="596" t="str" cm="1">
        <f t="array" aca="1" ref="AE57" ca="1">Ver_flag_visit</f>
        <v>🇧🇪</v>
      </c>
      <c r="AF57" s="33" t="str">
        <f ca="1">A53</f>
        <v>Bélgica</v>
      </c>
      <c r="AG57" s="323">
        <f t="shared" si="162"/>
        <v>1</v>
      </c>
      <c r="AH57" s="195">
        <v>64</v>
      </c>
      <c r="AI57" s="181" t="str">
        <f t="shared" si="166"/>
        <v>4G</v>
      </c>
      <c r="AJ57" s="44">
        <v>4</v>
      </c>
      <c r="AK57" s="604" t="str" cm="1">
        <f t="array" aca="1" ref="AK57" ca="1">Ver_flag_visit</f>
        <v>🇳🇿</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1</v>
      </c>
      <c r="AS57" s="47">
        <f t="shared" ca="1" si="165"/>
        <v>3</v>
      </c>
      <c r="AT57" s="48">
        <f t="shared" ca="1" si="165"/>
        <v>-2</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9</v>
      </c>
      <c r="BN58" s="16">
        <f ca="1">CF58</f>
        <v>9</v>
      </c>
      <c r="BO58" s="16" t="str">
        <f t="shared" ref="BO58:BO69" si="174">"4"&amp;BC58</f>
        <v>4A</v>
      </c>
      <c r="BP58" s="16"/>
      <c r="BQ58" s="16"/>
      <c r="BR58" s="16">
        <f t="shared" ref="BR58:BR69" ca="1" si="175">+BE58</f>
        <v>2</v>
      </c>
      <c r="BS58" s="16">
        <f ca="1">COUNTIFS(BR$58:BR$69,"&gt;"&amp;BR58)+1</f>
        <v>9</v>
      </c>
      <c r="BT58" s="16" t="str">
        <f ca="1">IF(COUNTIF(BS$58:BS$69,BS58)=1,"-","Pos. "&amp;BS58&amp;" ("&amp;COUNTIF(BS$58:BS$69,BS58)&amp;")")</f>
        <v>Pos. 9 (3)</v>
      </c>
      <c r="BU58" s="16">
        <f t="shared" ref="BU58:BU69" ca="1" si="176">IF(BT58="-","-",BL58)</f>
        <v>-1</v>
      </c>
      <c r="BV58" s="16">
        <f t="shared" ref="BV58:BV69" ca="1" si="177">BS58+COUNTIFS(BT$58:BT$69,BT58,BU$58:BU$69,"&gt;"&amp;BU58)</f>
        <v>9</v>
      </c>
      <c r="BW58" s="16" t="str">
        <f t="shared" ref="BW58:BW69" ca="1" si="178">IF(COUNTIF(BV$58:BV$69,BV58)=1,"-","Pos. "&amp;BV58&amp;" ("&amp;COUNTIF(BV$58:BV$69,BV58)&amp;")")</f>
        <v>-</v>
      </c>
      <c r="BX58" s="16" t="str">
        <f t="shared" ref="BX58:BX69" ca="1" si="179">IF(BW58="-","-",BJ58)</f>
        <v>-</v>
      </c>
      <c r="BY58" s="16">
        <f t="shared" ref="BY58:BY69" ca="1" si="180">BV58+COUNTIFS(BW$58:BW$69,BW58,BX$58:BX$69,"&gt;"&amp;BX58)</f>
        <v>9</v>
      </c>
      <c r="BZ58" s="16" t="str">
        <f t="shared" ref="BZ58:BZ69" ca="1" si="181">IF(COUNTIF(BY$58:BY$69,BY58)=1,"-","Pos. "&amp;BY58&amp;" ("&amp;COUNTIF(BY$58:BY$69,BY58)&amp;")")</f>
        <v>-</v>
      </c>
      <c r="CA58" s="16" t="str">
        <f t="shared" ref="CA58:CA69" ca="1" si="182">IF(BZ58="-","-",COUNTIF($BD$58:$BD$69,"&gt;"&amp;BD58))</f>
        <v>-</v>
      </c>
      <c r="CB58" s="16">
        <f ca="1">BY58+COUNTIFS(BZ$58:BZ$69,BZ58,CA$58:CA$69,"&gt;"&amp;CA58)</f>
        <v>9</v>
      </c>
      <c r="CC58" s="16"/>
      <c r="CD58" s="16">
        <f t="shared" ref="CD58:CD69" ca="1" si="183">IF(OR(INDEX($AW$102:$AW$113,MATCH($BD58,$AV$102:$AV$113,0))="",BZ58="-"),CB58,INDEX($AW$102:$AW$113,MATCH($BD58,$AV$102:$AV$113,0))+CB58/1000)</f>
        <v>9</v>
      </c>
      <c r="CE58" s="16" t="str">
        <f ca="1">IF(BZ58="-","-",COUNTIF(CD$58:CD$69,"&lt;"&amp;CD58))</f>
        <v>-</v>
      </c>
      <c r="CF58" s="16">
        <f ca="1">BY58+COUNTIFS(BZ$58:BZ$69,BZ58,CE$58:CE$69,"&lt;"&amp;CE58)</f>
        <v>9</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Paraguay</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Suiza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4</v>
      </c>
      <c r="BK59" s="16">
        <f t="shared" ca="1" si="173"/>
        <v>3</v>
      </c>
      <c r="BL59" s="16">
        <f t="shared" ref="BL59:BL69" ca="1" si="190">+BJ59-BK59</f>
        <v>1</v>
      </c>
      <c r="BM59" s="16">
        <f t="shared" ref="BM59:BM69" ca="1" si="191">CB59</f>
        <v>3</v>
      </c>
      <c r="BN59" s="16">
        <f t="shared" ref="BN59:BN69" ca="1" si="192">CF59</f>
        <v>3</v>
      </c>
      <c r="BO59" s="16" t="str">
        <f t="shared" si="174"/>
        <v>4B</v>
      </c>
      <c r="BP59" s="16"/>
      <c r="BQ59" s="16"/>
      <c r="BR59" s="16">
        <f t="shared" ca="1" si="175"/>
        <v>3</v>
      </c>
      <c r="BS59" s="16">
        <f t="shared" ref="BS59:BS69" ca="1" si="193">COUNTIFS(BR$58:BR$69,"&gt;"&amp;BR59)+1</f>
        <v>3</v>
      </c>
      <c r="BT59" s="16" t="str">
        <f t="shared" ref="BT59:BT69" ca="1" si="194">IF(COUNTIF(BS$58:BS$69,BS59)=1,"-","Pos. "&amp;BS59&amp;" ("&amp;COUNTIF(BS$58:BS$69,BS59)&amp;")")</f>
        <v>Pos. 3 (6)</v>
      </c>
      <c r="BU59" s="16">
        <f t="shared" ca="1" si="176"/>
        <v>1</v>
      </c>
      <c r="BV59" s="16">
        <f t="shared" ca="1" si="177"/>
        <v>3</v>
      </c>
      <c r="BW59" s="16" t="str">
        <f t="shared" ca="1" si="178"/>
        <v>-</v>
      </c>
      <c r="BX59" s="16" t="str">
        <f t="shared" ca="1" si="179"/>
        <v>-</v>
      </c>
      <c r="BY59" s="16">
        <f t="shared" ca="1" si="180"/>
        <v>3</v>
      </c>
      <c r="BZ59" s="16" t="str">
        <f t="shared" ca="1" si="181"/>
        <v>-</v>
      </c>
      <c r="CA59" s="16" t="str">
        <f t="shared" ca="1" si="182"/>
        <v>-</v>
      </c>
      <c r="CB59" s="16">
        <f t="shared" ref="CB59:CB68" ca="1" si="195">BY59+COUNTIFS(BZ$58:BZ$69,BZ59,CA$58:CA$69,"&gt;"&amp;CA59)</f>
        <v>3</v>
      </c>
      <c r="CC59" s="16"/>
      <c r="CD59" s="16">
        <f t="shared" ca="1" si="183"/>
        <v>3</v>
      </c>
      <c r="CE59" s="16" t="str">
        <f t="shared" ref="CE59:CE69" ca="1" si="196">IF(BZ59="-","-",COUNTIF(CD$58:CD$69,"&lt;"&amp;CD59))</f>
        <v>-</v>
      </c>
      <c r="CF59" s="16">
        <f t="shared" ref="CF59:CF69" ca="1" si="197">BY59+COUNTIFS(BZ$58:BZ$69,BZ59,CE$58:CE$69,"&lt;"&amp;CE59)</f>
        <v>3</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Argelia</v>
      </c>
    </row>
    <row r="60" spans="1:121" ht="16" customHeight="1" thickBot="1" x14ac:dyDescent="0.25">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v>
      </c>
      <c r="AC60" s="50">
        <v>3</v>
      </c>
      <c r="AD60" s="51">
        <v>0</v>
      </c>
      <c r="AE60" s="595" t="str" cm="1">
        <f t="array" aca="1" ref="AE60" ca="1">Ver_flag_visit</f>
        <v>🇨🇻</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4</v>
      </c>
      <c r="BL60" s="16">
        <f t="shared" ca="1" si="190"/>
        <v>-1</v>
      </c>
      <c r="BM60" s="16">
        <f t="shared" ca="1" si="191"/>
        <v>4</v>
      </c>
      <c r="BN60" s="16">
        <f t="shared" ca="1" si="192"/>
        <v>4</v>
      </c>
      <c r="BO60" s="16" t="str">
        <f t="shared" si="174"/>
        <v>4C</v>
      </c>
      <c r="BP60" s="16"/>
      <c r="BQ60" s="16"/>
      <c r="BR60" s="16">
        <f t="shared" ca="1" si="175"/>
        <v>3</v>
      </c>
      <c r="BS60" s="16">
        <f t="shared" ca="1" si="193"/>
        <v>3</v>
      </c>
      <c r="BT60" s="16" t="str">
        <f t="shared" ca="1" si="194"/>
        <v>Pos. 3 (6)</v>
      </c>
      <c r="BU60" s="16">
        <f t="shared" ca="1" si="176"/>
        <v>-1</v>
      </c>
      <c r="BV60" s="16">
        <f t="shared" ca="1" si="177"/>
        <v>4</v>
      </c>
      <c r="BW60" s="16" t="str">
        <f t="shared" ca="1" si="178"/>
        <v>Pos. 4 (3)</v>
      </c>
      <c r="BX60" s="16">
        <f t="shared" ca="1" si="179"/>
        <v>3</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Suiza</v>
      </c>
    </row>
    <row r="61" spans="1:121" ht="16" customHeight="1" x14ac:dyDescent="0.2">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v>
      </c>
      <c r="AC61" s="50">
        <v>0</v>
      </c>
      <c r="AD61" s="51">
        <v>2</v>
      </c>
      <c r="AE61" s="595" t="str" cm="1">
        <f t="array" aca="1" ref="AE61" ca="1">Ver_flag_visit</f>
        <v>🇺🇾</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3</v>
      </c>
      <c r="BK61" s="16">
        <f t="shared" ca="1" si="173"/>
        <v>3</v>
      </c>
      <c r="BL61" s="16">
        <f t="shared" ca="1" si="190"/>
        <v>0</v>
      </c>
      <c r="BM61" s="16">
        <f t="shared" ca="1" si="191"/>
        <v>1</v>
      </c>
      <c r="BN61" s="16">
        <f t="shared" ca="1" si="192"/>
        <v>1</v>
      </c>
      <c r="BO61" s="16" t="str">
        <f t="shared" si="174"/>
        <v>4D</v>
      </c>
      <c r="BP61" s="16"/>
      <c r="BQ61" s="16"/>
      <c r="BR61" s="16">
        <f t="shared" ca="1" si="175"/>
        <v>4</v>
      </c>
      <c r="BS61" s="16">
        <f t="shared" ca="1" si="193"/>
        <v>1</v>
      </c>
      <c r="BT61" s="16" t="str">
        <f t="shared" ca="1" si="194"/>
        <v>Pos. 1 (2)</v>
      </c>
      <c r="BU61" s="16">
        <f t="shared" ca="1" si="176"/>
        <v>0</v>
      </c>
      <c r="BV61" s="16">
        <f t="shared" ca="1" si="177"/>
        <v>1</v>
      </c>
      <c r="BW61" s="16" t="str">
        <f t="shared" ca="1" si="178"/>
        <v>-</v>
      </c>
      <c r="BX61" s="16" t="str">
        <f t="shared" ca="1" si="179"/>
        <v>-</v>
      </c>
      <c r="BY61" s="16">
        <f t="shared" ca="1" si="180"/>
        <v>1</v>
      </c>
      <c r="BZ61" s="16" t="str">
        <f t="shared" ca="1" si="181"/>
        <v>-</v>
      </c>
      <c r="CA61" s="16" t="str">
        <f t="shared" ca="1" si="182"/>
        <v>-</v>
      </c>
      <c r="CB61" s="16">
        <f t="shared" ca="1" si="195"/>
        <v>1</v>
      </c>
      <c r="CC61" s="16"/>
      <c r="CD61" s="16">
        <f t="shared" ca="1" si="183"/>
        <v>1</v>
      </c>
      <c r="CE61" s="16" t="str">
        <f t="shared" ca="1" si="196"/>
        <v>-</v>
      </c>
      <c r="CF61" s="16">
        <f t="shared" ca="1" si="197"/>
        <v>1</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6" customHeight="1" x14ac:dyDescent="0.2">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v>
      </c>
      <c r="AC62" s="50">
        <v>2</v>
      </c>
      <c r="AD62" s="51">
        <v>0</v>
      </c>
      <c r="AE62" s="595" t="str" cm="1">
        <f t="array" aca="1" ref="AE62" ca="1">Ver_flag_visit</f>
        <v>🇸🇦</v>
      </c>
      <c r="AF62" s="32" t="str">
        <f ca="1">A63</f>
        <v>Arabia Saudita</v>
      </c>
      <c r="AG62" s="323">
        <f t="shared" si="212"/>
        <v>1</v>
      </c>
      <c r="AH62" s="195">
        <v>38</v>
      </c>
      <c r="AI62" s="181" t="str">
        <f>AJ62&amp;$B$60</f>
        <v>1H</v>
      </c>
      <c r="AJ62" s="40">
        <v>1</v>
      </c>
      <c r="AK62" s="601" t="str" cm="1">
        <f t="array" aca="1" ref="AK62" ca="1">Ver_flag_visit</f>
        <v>🇪🇸</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6</v>
      </c>
      <c r="AS62" s="36">
        <f t="shared" ca="1" si="215"/>
        <v>0</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2</v>
      </c>
      <c r="BK62" s="16">
        <f t="shared" ca="1" si="173"/>
        <v>4</v>
      </c>
      <c r="BL62" s="16">
        <f t="shared" ca="1" si="190"/>
        <v>-2</v>
      </c>
      <c r="BM62" s="16">
        <f t="shared" ca="1" si="191"/>
        <v>7</v>
      </c>
      <c r="BN62" s="16">
        <f t="shared" ca="1" si="192"/>
        <v>7</v>
      </c>
      <c r="BO62" s="16" t="str">
        <f t="shared" si="174"/>
        <v>4E</v>
      </c>
      <c r="BP62" s="16"/>
      <c r="BQ62" s="16"/>
      <c r="BR62" s="16">
        <f t="shared" ca="1" si="175"/>
        <v>3</v>
      </c>
      <c r="BS62" s="16">
        <f t="shared" ca="1" si="193"/>
        <v>3</v>
      </c>
      <c r="BT62" s="16" t="str">
        <f t="shared" ca="1" si="194"/>
        <v>Pos. 3 (6)</v>
      </c>
      <c r="BU62" s="16">
        <f t="shared" ca="1" si="176"/>
        <v>-2</v>
      </c>
      <c r="BV62" s="16">
        <f t="shared" ca="1" si="177"/>
        <v>7</v>
      </c>
      <c r="BW62" s="16" t="str">
        <f t="shared" ca="1" si="178"/>
        <v>-</v>
      </c>
      <c r="BX62" s="16" t="str">
        <f t="shared" ca="1" si="179"/>
        <v>-</v>
      </c>
      <c r="BY62" s="16">
        <f t="shared" ca="1" si="180"/>
        <v>7</v>
      </c>
      <c r="BZ62" s="16" t="str">
        <f t="shared" ca="1" si="181"/>
        <v>-</v>
      </c>
      <c r="CA62" s="16" t="str">
        <f t="shared" ca="1" si="182"/>
        <v>-</v>
      </c>
      <c r="CB62" s="16">
        <f t="shared" ca="1" si="195"/>
        <v>7</v>
      </c>
      <c r="CC62" s="16"/>
      <c r="CD62" s="16">
        <f t="shared" ca="1" si="183"/>
        <v>7</v>
      </c>
      <c r="CE62" s="16" t="str">
        <f t="shared" ca="1" si="196"/>
        <v>-</v>
      </c>
      <c r="CF62" s="16">
        <f t="shared" ca="1" si="197"/>
        <v>7</v>
      </c>
      <c r="DJ62" s="16">
        <f t="shared" ca="1" si="184"/>
        <v>5</v>
      </c>
      <c r="DK62" s="16"/>
      <c r="DL62" s="16">
        <f t="shared" ca="1" si="185"/>
        <v>2</v>
      </c>
      <c r="DM62" s="16" t="str">
        <f t="shared" ca="1" si="186"/>
        <v>5.2</v>
      </c>
      <c r="DN62" s="16" t="e" cm="1" vm="1">
        <f t="array" aca="1" ref="DN62" ca="1">OFFSET(Horarios!$P$3,DJ62-1,0,DL62,1)</f>
        <v>#VALUE!</v>
      </c>
      <c r="DO62" s="16"/>
      <c r="DP62" s="16">
        <v>5</v>
      </c>
      <c r="DQ62" s="16" t="str">
        <f t="shared" ca="1" si="198"/>
        <v>Ghana</v>
      </c>
    </row>
    <row r="63" spans="1:121" ht="16" customHeight="1" x14ac:dyDescent="0.2">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v>
      </c>
      <c r="AC63" s="50">
        <v>2</v>
      </c>
      <c r="AD63" s="51">
        <v>0</v>
      </c>
      <c r="AE63" s="595" t="str" cm="1">
        <f t="array" aca="1" ref="AE63" ca="1">Ver_flag_visit</f>
        <v>🇨🇻</v>
      </c>
      <c r="AF63" s="32" t="str">
        <f ca="1">A62</f>
        <v>Cabo Verde</v>
      </c>
      <c r="AG63" s="323">
        <f t="shared" si="212"/>
        <v>1</v>
      </c>
      <c r="AH63" s="195">
        <v>37</v>
      </c>
      <c r="AI63" s="181" t="str">
        <f t="shared" ref="AI63:AI65" si="216">AJ63&amp;$B$60</f>
        <v>2H</v>
      </c>
      <c r="AJ63" s="42">
        <v>2</v>
      </c>
      <c r="AK63" s="602" t="str" cm="1">
        <f t="array" aca="1" ref="AK63" ca="1">Ver_flag_visit</f>
        <v>🇺🇾</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4</v>
      </c>
      <c r="AS63" s="39">
        <f t="shared" ca="1" si="215"/>
        <v>1</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1</v>
      </c>
      <c r="BK63" s="16">
        <f t="shared" ca="1" si="173"/>
        <v>2</v>
      </c>
      <c r="BL63" s="16">
        <f t="shared" ca="1" si="190"/>
        <v>-1</v>
      </c>
      <c r="BM63" s="16">
        <f t="shared" ca="1" si="191"/>
        <v>6</v>
      </c>
      <c r="BN63" s="16">
        <f t="shared" ca="1" si="192"/>
        <v>6</v>
      </c>
      <c r="BO63" s="16" t="str">
        <f t="shared" si="174"/>
        <v>4F</v>
      </c>
      <c r="BP63" s="16"/>
      <c r="BQ63" s="16"/>
      <c r="BR63" s="16">
        <f t="shared" ca="1" si="175"/>
        <v>3</v>
      </c>
      <c r="BS63" s="16">
        <f t="shared" ca="1" si="193"/>
        <v>3</v>
      </c>
      <c r="BT63" s="16" t="str">
        <f t="shared" ca="1" si="194"/>
        <v>Pos. 3 (6)</v>
      </c>
      <c r="BU63" s="16">
        <f t="shared" ca="1" si="176"/>
        <v>-1</v>
      </c>
      <c r="BV63" s="16">
        <f t="shared" ca="1" si="177"/>
        <v>4</v>
      </c>
      <c r="BW63" s="16" t="str">
        <f t="shared" ca="1" si="178"/>
        <v>Pos. 4 (3)</v>
      </c>
      <c r="BX63" s="16">
        <f t="shared" ca="1" si="179"/>
        <v>1</v>
      </c>
      <c r="BY63" s="16">
        <f t="shared" ca="1" si="180"/>
        <v>5</v>
      </c>
      <c r="BZ63" s="16" t="str">
        <f t="shared" ca="1" si="181"/>
        <v>Pos. 5 (2)</v>
      </c>
      <c r="CA63" s="16">
        <f t="shared" ca="1" si="182"/>
        <v>1</v>
      </c>
      <c r="CB63" s="16">
        <f t="shared" ca="1" si="195"/>
        <v>6</v>
      </c>
      <c r="CC63" s="16"/>
      <c r="CD63" s="16">
        <f t="shared" ca="1" si="183"/>
        <v>6.0060000000000002</v>
      </c>
      <c r="CE63" s="16">
        <f t="shared" ca="1" si="196"/>
        <v>5</v>
      </c>
      <c r="CF63" s="16">
        <f t="shared" ca="1" si="197"/>
        <v>6</v>
      </c>
      <c r="DJ63" s="16">
        <f t="shared" ca="1" si="184"/>
        <v>5</v>
      </c>
      <c r="DK63" s="16"/>
      <c r="DL63" s="16">
        <f t="shared" ca="1" si="185"/>
        <v>2</v>
      </c>
      <c r="DM63" s="16" t="str">
        <f t="shared" ca="1" si="186"/>
        <v>5.2</v>
      </c>
      <c r="DN63" s="16" t="e" cm="1" vm="1">
        <f t="array" aca="1" ref="DN63" ca="1">OFFSET(Horarios!$P$3,DJ63-1,0,DL63,1)</f>
        <v>#VALUE!</v>
      </c>
      <c r="DO63" s="16"/>
      <c r="DP63" s="16">
        <v>6</v>
      </c>
      <c r="DQ63" s="16" t="str">
        <f t="shared" ca="1" si="198"/>
        <v>Suecia</v>
      </c>
    </row>
    <row r="64" spans="1:121" ht="16" customHeight="1" x14ac:dyDescent="0.2">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v>
      </c>
      <c r="AC64" s="50">
        <v>0</v>
      </c>
      <c r="AD64" s="51">
        <v>1</v>
      </c>
      <c r="AE64" s="595" t="str" cm="1">
        <f t="array" aca="1" ref="AE64" ca="1">Ver_flag_visit</f>
        <v>🇸🇦</v>
      </c>
      <c r="AF64" s="32" t="str">
        <f ca="1">A63</f>
        <v>Arabia Saudita</v>
      </c>
      <c r="AG64" s="323">
        <f t="shared" si="212"/>
        <v>1</v>
      </c>
      <c r="AH64" s="195">
        <v>65</v>
      </c>
      <c r="AI64" s="181" t="str">
        <f t="shared" si="216"/>
        <v>3H</v>
      </c>
      <c r="AJ64" s="42">
        <v>3</v>
      </c>
      <c r="AK64" s="602" t="str" cm="1">
        <f t="array" aca="1" ref="AK64" ca="1">Ver_flag_visit</f>
        <v>🇸🇦</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4</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2</v>
      </c>
      <c r="BF64" s="16">
        <f t="shared" ca="1" si="189"/>
        <v>3</v>
      </c>
      <c r="BG64" s="16">
        <f t="shared" ca="1" si="169"/>
        <v>0</v>
      </c>
      <c r="BH64" s="16">
        <f t="shared" ca="1" si="170"/>
        <v>2</v>
      </c>
      <c r="BI64" s="16">
        <f t="shared" ca="1" si="171"/>
        <v>1</v>
      </c>
      <c r="BJ64" s="16">
        <f t="shared" ca="1" si="172"/>
        <v>1</v>
      </c>
      <c r="BK64" s="16">
        <f t="shared" ca="1" si="173"/>
        <v>3</v>
      </c>
      <c r="BL64" s="16">
        <f t="shared" ca="1" si="190"/>
        <v>-2</v>
      </c>
      <c r="BM64" s="16">
        <f t="shared" ca="1" si="191"/>
        <v>10</v>
      </c>
      <c r="BN64" s="16">
        <f t="shared" ca="1" si="192"/>
        <v>11</v>
      </c>
      <c r="BO64" s="16" t="str">
        <f t="shared" si="174"/>
        <v>4G</v>
      </c>
      <c r="BP64" s="16"/>
      <c r="BQ64" s="16"/>
      <c r="BR64" s="16">
        <f t="shared" ca="1" si="175"/>
        <v>2</v>
      </c>
      <c r="BS64" s="16">
        <f t="shared" ca="1" si="193"/>
        <v>9</v>
      </c>
      <c r="BT64" s="16" t="str">
        <f t="shared" ca="1" si="194"/>
        <v>Pos. 9 (3)</v>
      </c>
      <c r="BU64" s="16">
        <f t="shared" ca="1" si="176"/>
        <v>-2</v>
      </c>
      <c r="BV64" s="16">
        <f t="shared" ca="1" si="177"/>
        <v>10</v>
      </c>
      <c r="BW64" s="16" t="str">
        <f t="shared" ca="1" si="178"/>
        <v>Pos. 10 (2)</v>
      </c>
      <c r="BX64" s="16">
        <f t="shared" ca="1" si="179"/>
        <v>1</v>
      </c>
      <c r="BY64" s="16">
        <f t="shared" ca="1" si="180"/>
        <v>10</v>
      </c>
      <c r="BZ64" s="16" t="str">
        <f t="shared" ca="1" si="181"/>
        <v>Pos. 10 (2)</v>
      </c>
      <c r="CA64" s="16">
        <f t="shared" ca="1" si="182"/>
        <v>6</v>
      </c>
      <c r="CB64" s="16">
        <f t="shared" ca="1" si="195"/>
        <v>10</v>
      </c>
      <c r="CC64" s="16"/>
      <c r="CD64" s="16">
        <f t="shared" ca="1" si="183"/>
        <v>11.01</v>
      </c>
      <c r="CE64" s="16">
        <f t="shared" ca="1" si="196"/>
        <v>10</v>
      </c>
      <c r="CF64" s="16">
        <f t="shared" ca="1" si="197"/>
        <v>11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Costa de Marfil</v>
      </c>
    </row>
    <row r="65" spans="1:121" ht="16" customHeight="1" thickBot="1" x14ac:dyDescent="0.25">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v>
      </c>
      <c r="AC65" s="53">
        <v>0</v>
      </c>
      <c r="AD65" s="54">
        <v>1</v>
      </c>
      <c r="AE65" s="596" t="str" cm="1">
        <f t="array" aca="1" ref="AE65" ca="1">Ver_flag_visit</f>
        <v>🇪🇸</v>
      </c>
      <c r="AF65" s="33" t="str">
        <f ca="1">A61</f>
        <v>España</v>
      </c>
      <c r="AG65" s="323">
        <f t="shared" si="212"/>
        <v>1</v>
      </c>
      <c r="AH65" s="195">
        <v>66</v>
      </c>
      <c r="AI65" s="181" t="str">
        <f t="shared" si="216"/>
        <v>4H</v>
      </c>
      <c r="AJ65" s="44">
        <v>4</v>
      </c>
      <c r="AK65" s="604" t="str" cm="1">
        <f t="array" aca="1" ref="AK65" ca="1">Ver_flag_visit</f>
        <v>🇨🇻</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6</v>
      </c>
      <c r="AT65" s="48">
        <f t="shared" ca="1" si="215"/>
        <v>-6</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4</v>
      </c>
      <c r="BL65" s="16">
        <f t="shared" ca="1" si="190"/>
        <v>-3</v>
      </c>
      <c r="BM65" s="16">
        <f t="shared" ca="1" si="191"/>
        <v>8</v>
      </c>
      <c r="BN65" s="16">
        <f t="shared" ca="1" si="192"/>
        <v>8</v>
      </c>
      <c r="BO65" s="16" t="str">
        <f t="shared" si="174"/>
        <v>4H</v>
      </c>
      <c r="BP65" s="16"/>
      <c r="BQ65" s="16"/>
      <c r="BR65" s="16">
        <f t="shared" ca="1" si="175"/>
        <v>3</v>
      </c>
      <c r="BS65" s="16">
        <f t="shared" ca="1" si="193"/>
        <v>3</v>
      </c>
      <c r="BT65" s="16" t="str">
        <f t="shared" ca="1" si="194"/>
        <v>Pos. 3 (6)</v>
      </c>
      <c r="BU65" s="16">
        <f t="shared" ca="1" si="176"/>
        <v>-3</v>
      </c>
      <c r="BV65" s="16">
        <f t="shared" ca="1" si="177"/>
        <v>8</v>
      </c>
      <c r="BW65" s="16" t="str">
        <f t="shared" ca="1" si="178"/>
        <v>-</v>
      </c>
      <c r="BX65" s="16" t="str">
        <f t="shared" ca="1" si="179"/>
        <v>-</v>
      </c>
      <c r="BY65" s="16">
        <f t="shared" ca="1" si="180"/>
        <v>8</v>
      </c>
      <c r="BZ65" s="16" t="str">
        <f t="shared" ca="1" si="181"/>
        <v>-</v>
      </c>
      <c r="CA65" s="16" t="str">
        <f t="shared" ca="1" si="182"/>
        <v>-</v>
      </c>
      <c r="CB65" s="16">
        <f t="shared" ca="1" si="195"/>
        <v>8</v>
      </c>
      <c r="CC65" s="16"/>
      <c r="CD65" s="16">
        <f t="shared" ca="1" si="183"/>
        <v>8</v>
      </c>
      <c r="CE65" s="16" t="str">
        <f t="shared" ca="1" si="196"/>
        <v>-</v>
      </c>
      <c r="CF65" s="16">
        <f t="shared" ca="1" si="197"/>
        <v>8</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Arabia Saudita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2</v>
      </c>
      <c r="BF66" s="16">
        <f t="shared" ca="1" si="189"/>
        <v>3</v>
      </c>
      <c r="BG66" s="16">
        <f t="shared" ca="1" si="169"/>
        <v>0</v>
      </c>
      <c r="BH66" s="16">
        <f t="shared" ca="1" si="170"/>
        <v>2</v>
      </c>
      <c r="BI66" s="16">
        <f t="shared" ca="1" si="171"/>
        <v>1</v>
      </c>
      <c r="BJ66" s="16">
        <f t="shared" ca="1" si="172"/>
        <v>1</v>
      </c>
      <c r="BK66" s="16">
        <f t="shared" ca="1" si="173"/>
        <v>3</v>
      </c>
      <c r="BL66" s="16">
        <f t="shared" ca="1" si="190"/>
        <v>-2</v>
      </c>
      <c r="BM66" s="16">
        <f t="shared" ca="1" si="191"/>
        <v>11</v>
      </c>
      <c r="BN66" s="16">
        <f t="shared" ca="1" si="192"/>
        <v>10</v>
      </c>
      <c r="BO66" s="16" t="str">
        <f t="shared" si="174"/>
        <v>4I</v>
      </c>
      <c r="BP66" s="16"/>
      <c r="BQ66" s="16"/>
      <c r="BR66" s="16">
        <f t="shared" ca="1" si="175"/>
        <v>2</v>
      </c>
      <c r="BS66" s="16">
        <f t="shared" ca="1" si="193"/>
        <v>9</v>
      </c>
      <c r="BT66" s="16" t="str">
        <f t="shared" ca="1" si="194"/>
        <v>Pos. 9 (3)</v>
      </c>
      <c r="BU66" s="16">
        <f t="shared" ca="1" si="176"/>
        <v>-2</v>
      </c>
      <c r="BV66" s="16">
        <f t="shared" ca="1" si="177"/>
        <v>10</v>
      </c>
      <c r="BW66" s="16" t="str">
        <f t="shared" ca="1" si="178"/>
        <v>Pos. 10 (2)</v>
      </c>
      <c r="BX66" s="16">
        <f t="shared" ca="1" si="179"/>
        <v>1</v>
      </c>
      <c r="BY66" s="16">
        <f t="shared" ca="1" si="180"/>
        <v>10</v>
      </c>
      <c r="BZ66" s="16" t="str">
        <f t="shared" ca="1" si="181"/>
        <v>Pos. 10 (2)</v>
      </c>
      <c r="CA66" s="16">
        <f t="shared" ca="1" si="182"/>
        <v>2</v>
      </c>
      <c r="CB66" s="16">
        <f t="shared" ca="1" si="195"/>
        <v>11</v>
      </c>
      <c r="CC66" s="16"/>
      <c r="CD66" s="16">
        <f t="shared" ca="1" si="183"/>
        <v>10.010999999999999</v>
      </c>
      <c r="CE66" s="16">
        <f t="shared" ca="1" si="196"/>
        <v>9</v>
      </c>
      <c r="CF66" s="16">
        <f t="shared" ca="1" si="197"/>
        <v>10</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República Checa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2</v>
      </c>
      <c r="BK67" s="16">
        <f t="shared" ca="1" si="173"/>
        <v>4</v>
      </c>
      <c r="BL67" s="16">
        <f t="shared" ca="1" si="190"/>
        <v>-2</v>
      </c>
      <c r="BM67" s="16">
        <f t="shared" ca="1" si="191"/>
        <v>2</v>
      </c>
      <c r="BN67" s="16">
        <f t="shared" ca="1" si="192"/>
        <v>2</v>
      </c>
      <c r="BO67" s="16" t="str">
        <f t="shared" si="174"/>
        <v>4J</v>
      </c>
      <c r="BP67" s="16"/>
      <c r="BQ67" s="16"/>
      <c r="BR67" s="16">
        <f t="shared" ca="1" si="175"/>
        <v>4</v>
      </c>
      <c r="BS67" s="16">
        <f t="shared" ca="1" si="193"/>
        <v>1</v>
      </c>
      <c r="BT67" s="16" t="str">
        <f t="shared" ca="1" si="194"/>
        <v>Pos. 1 (2)</v>
      </c>
      <c r="BU67" s="16">
        <f t="shared" ca="1" si="176"/>
        <v>-2</v>
      </c>
      <c r="BV67" s="16">
        <f t="shared" ca="1" si="177"/>
        <v>2</v>
      </c>
      <c r="BW67" s="16" t="str">
        <f t="shared" ca="1" si="178"/>
        <v>-</v>
      </c>
      <c r="BX67" s="16" t="str">
        <f t="shared" ca="1" si="179"/>
        <v>-</v>
      </c>
      <c r="BY67" s="16">
        <f t="shared" ca="1" si="180"/>
        <v>2</v>
      </c>
      <c r="BZ67" s="16" t="str">
        <f t="shared" ca="1" si="181"/>
        <v>-</v>
      </c>
      <c r="CA67" s="16" t="str">
        <f t="shared" ca="1" si="182"/>
        <v>-</v>
      </c>
      <c r="CB67" s="16">
        <f t="shared" ca="1" si="195"/>
        <v>2</v>
      </c>
      <c r="CC67" s="16"/>
      <c r="CD67" s="16">
        <f t="shared" ca="1" si="183"/>
        <v>2</v>
      </c>
      <c r="CE67" s="16" t="str">
        <f t="shared" ca="1" si="196"/>
        <v>-</v>
      </c>
      <c r="CF67" s="16">
        <f t="shared" ca="1" si="197"/>
        <v>2</v>
      </c>
      <c r="DJ67" s="16">
        <f t="shared" ca="1" si="184"/>
        <v>10</v>
      </c>
      <c r="DK67" s="16"/>
      <c r="DL67" s="16">
        <f t="shared" ca="1" si="185"/>
        <v>2</v>
      </c>
      <c r="DM67" s="16" t="str">
        <f t="shared" ca="1" si="186"/>
        <v>10.2</v>
      </c>
      <c r="DN67" s="16" t="e" cm="1" vm="1">
        <f t="array" aca="1" ref="DN67" ca="1">OFFSET(Horarios!$P$3,DJ67-1,0,DL67,1)</f>
        <v>#VALUE!</v>
      </c>
      <c r="DO67" s="16"/>
      <c r="DP67" s="16">
        <v>10</v>
      </c>
      <c r="DQ67" s="16" t="str">
        <f t="shared" ca="1" si="198"/>
        <v>Irán</v>
      </c>
    </row>
    <row r="68" spans="1:121" ht="16"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v>
      </c>
      <c r="AC68" s="50">
        <v>2</v>
      </c>
      <c r="AD68" s="51">
        <v>0</v>
      </c>
      <c r="AE68" s="595" t="str" cm="1">
        <f t="array" aca="1" ref="AE68" ca="1">Ver_flag_visit</f>
        <v>🇸🇳</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4</v>
      </c>
      <c r="BL68" s="16">
        <f t="shared" ca="1" si="190"/>
        <v>-3</v>
      </c>
      <c r="BM68" s="16">
        <f t="shared" ca="1" si="191"/>
        <v>12</v>
      </c>
      <c r="BN68" s="16">
        <f t="shared" ca="1" si="192"/>
        <v>12</v>
      </c>
      <c r="BO68" s="16" t="str">
        <f t="shared" si="174"/>
        <v>4K</v>
      </c>
      <c r="BP68" s="16"/>
      <c r="BQ68" s="16"/>
      <c r="BR68" s="16">
        <f t="shared" ca="1" si="175"/>
        <v>1</v>
      </c>
      <c r="BS68" s="16">
        <f t="shared" ca="1" si="193"/>
        <v>12</v>
      </c>
      <c r="BT68" s="16" t="str">
        <f t="shared" ca="1" si="194"/>
        <v>-</v>
      </c>
      <c r="BU68" s="16" t="str">
        <f t="shared" ca="1" si="176"/>
        <v>-</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10</v>
      </c>
      <c r="DK68" s="16"/>
      <c r="DL68" s="16">
        <f t="shared" ca="1" si="185"/>
        <v>2</v>
      </c>
      <c r="DM68" s="16" t="str">
        <f t="shared" ca="1" si="186"/>
        <v>10.2</v>
      </c>
      <c r="DN68" s="16" t="e" cm="1" vm="1">
        <f t="array" aca="1" ref="DN68" ca="1">OFFSET(Horarios!$P$3,DJ68-1,0,DL68,1)</f>
        <v>#VALUE!</v>
      </c>
      <c r="DO68" s="16"/>
      <c r="DP68" s="16">
        <v>11</v>
      </c>
      <c r="DQ68" s="16" t="str">
        <f t="shared" ca="1" si="198"/>
        <v>Senegal</v>
      </c>
    </row>
    <row r="69" spans="1:121" ht="16"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str" cm="1">
        <f t="array" aca="1" ref="AB69" ca="1">Ver_flag_local</f>
        <v>🇮🇶</v>
      </c>
      <c r="AC69" s="50">
        <v>0</v>
      </c>
      <c r="AD69" s="51">
        <v>2</v>
      </c>
      <c r="AE69" s="595" t="str" cm="1">
        <f t="array" aca="1" ref="AE69" ca="1">Ver_flag_visit</f>
        <v>🇳🇴</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1</v>
      </c>
      <c r="BK69" s="16">
        <f t="shared" ca="1" si="173"/>
        <v>2</v>
      </c>
      <c r="BL69" s="16">
        <f t="shared" ca="1" si="190"/>
        <v>-1</v>
      </c>
      <c r="BM69" s="16">
        <f t="shared" ca="1" si="191"/>
        <v>5</v>
      </c>
      <c r="BN69" s="16">
        <f t="shared" ca="1" si="192"/>
        <v>5</v>
      </c>
      <c r="BO69" s="16" t="str">
        <f t="shared" si="174"/>
        <v>4L</v>
      </c>
      <c r="BP69" s="16"/>
      <c r="BQ69" s="16"/>
      <c r="BR69" s="16">
        <f t="shared" ca="1" si="175"/>
        <v>3</v>
      </c>
      <c r="BS69" s="16">
        <f t="shared" ca="1" si="193"/>
        <v>3</v>
      </c>
      <c r="BT69" s="16" t="str">
        <f t="shared" ca="1" si="194"/>
        <v>Pos. 3 (6)</v>
      </c>
      <c r="BU69" s="16">
        <f t="shared" ca="1" si="176"/>
        <v>-1</v>
      </c>
      <c r="BV69" s="16">
        <f t="shared" ca="1" si="177"/>
        <v>4</v>
      </c>
      <c r="BW69" s="16" t="str">
        <f t="shared" ca="1" si="178"/>
        <v>Pos. 4 (3)</v>
      </c>
      <c r="BX69" s="16">
        <f t="shared" ca="1" si="179"/>
        <v>1</v>
      </c>
      <c r="BY69" s="16">
        <f t="shared" ca="1" si="180"/>
        <v>5</v>
      </c>
      <c r="BZ69" s="16" t="str">
        <f t="shared" ca="1" si="181"/>
        <v>Pos. 5 (2)</v>
      </c>
      <c r="CA69" s="16">
        <f t="shared" ca="1" si="182"/>
        <v>7</v>
      </c>
      <c r="CB69" s="16">
        <f ca="1">BY69+COUNTIFS(BZ$58:BZ$69,BZ69,CA$58:CA$69,"&gt;"&amp;CA69)</f>
        <v>5</v>
      </c>
      <c r="CC69" s="16"/>
      <c r="CD69" s="16">
        <f t="shared" ca="1" si="183"/>
        <v>5.0049999999999999</v>
      </c>
      <c r="CE69" s="16">
        <f t="shared" ca="1" si="196"/>
        <v>4</v>
      </c>
      <c r="CF69" s="16">
        <f t="shared" ca="1" si="197"/>
        <v>5</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6"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v>
      </c>
      <c r="AC70" s="50">
        <v>2</v>
      </c>
      <c r="AD70" s="51">
        <v>0</v>
      </c>
      <c r="AE70" s="595" t="str" cm="1">
        <f t="array" aca="1" ref="AE70" ca="1">Ver_flag_visit</f>
        <v>🇮🇶</v>
      </c>
      <c r="AF70" s="32" t="str">
        <f ca="1">A71</f>
        <v>Irak</v>
      </c>
      <c r="AG70" s="323">
        <f t="shared" si="230"/>
        <v>1</v>
      </c>
      <c r="AH70" s="195">
        <v>42</v>
      </c>
      <c r="AI70" s="181" t="str">
        <f>AJ70&amp;$B$68</f>
        <v>1I</v>
      </c>
      <c r="AJ70" s="40">
        <v>1</v>
      </c>
      <c r="AK70" s="601" t="str" cm="1">
        <f t="array" aca="1" ref="AK70" ca="1">Ver_flag_visit</f>
        <v>🇫🇷</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5</v>
      </c>
      <c r="AS70" s="36">
        <f t="shared" ca="1" si="233"/>
        <v>1</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str" cm="1">
        <f t="array" aca="1" ref="AB71" ca="1">Ver_flag_local</f>
        <v>🇳🇴</v>
      </c>
      <c r="AC71" s="50">
        <v>1</v>
      </c>
      <c r="AD71" s="51">
        <v>1</v>
      </c>
      <c r="AE71" s="595" t="str" cm="1">
        <f t="array" aca="1" ref="AE71" ca="1">Ver_flag_visit</f>
        <v>🇸🇳</v>
      </c>
      <c r="AF71" s="32" t="str">
        <f ca="1">A70</f>
        <v>Senegal</v>
      </c>
      <c r="AG71" s="323">
        <f t="shared" si="230"/>
        <v>1</v>
      </c>
      <c r="AH71" s="195">
        <v>41</v>
      </c>
      <c r="AI71" s="181" t="str">
        <f t="shared" ref="AI71:AI73" si="234">AJ71&amp;$B$68</f>
        <v>2I</v>
      </c>
      <c r="AJ71" s="42">
        <v>2</v>
      </c>
      <c r="AK71" s="602" t="str" cm="1">
        <f t="array" aca="1" ref="AK71" ca="1">Ver_flag_visit</f>
        <v>🇳🇴</v>
      </c>
      <c r="AL71" s="37" t="str">
        <f ca="1">IFERROR(INDEX($BD$6:$BD$53,MATCH(AI71,$BN$6:$BN$53,0)),"")</f>
        <v>Noruega</v>
      </c>
      <c r="AM71" s="38">
        <f t="shared" ca="1" si="233"/>
        <v>5</v>
      </c>
      <c r="AN71" s="39">
        <f t="shared" ca="1" si="233"/>
        <v>3</v>
      </c>
      <c r="AO71" s="39">
        <f t="shared" ca="1" si="233"/>
        <v>1</v>
      </c>
      <c r="AP71" s="39">
        <f t="shared" ca="1" si="233"/>
        <v>2</v>
      </c>
      <c r="AQ71" s="39">
        <f t="shared" ca="1" si="233"/>
        <v>0</v>
      </c>
      <c r="AR71" s="39">
        <f t="shared" ca="1" si="233"/>
        <v>4</v>
      </c>
      <c r="AS71" s="39">
        <f t="shared" ca="1" si="233"/>
        <v>2</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217"/>
        <v>Empate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v>
      </c>
      <c r="AC72" s="50">
        <v>1</v>
      </c>
      <c r="AD72" s="51">
        <v>1</v>
      </c>
      <c r="AE72" s="595" t="str" cm="1">
        <f t="array" aca="1" ref="AE72" ca="1">Ver_flag_visit</f>
        <v>🇫🇷</v>
      </c>
      <c r="AF72" s="32" t="str">
        <f ca="1">A69</f>
        <v>Francia</v>
      </c>
      <c r="AG72" s="323">
        <f t="shared" si="230"/>
        <v>1</v>
      </c>
      <c r="AH72" s="195">
        <v>61</v>
      </c>
      <c r="AI72" s="181" t="str">
        <f t="shared" si="234"/>
        <v>3I</v>
      </c>
      <c r="AJ72" s="42">
        <v>3</v>
      </c>
      <c r="AK72" s="602" t="str" cm="1">
        <f t="array" aca="1" ref="AK72" ca="1">Ver_flag_visit</f>
        <v>🇸🇳</v>
      </c>
      <c r="AL72" s="37" t="str">
        <f ca="1">IFERROR(INDEX($BD$6:$BD$53,MATCH(AI72,$BN$6:$BN$53,0)),"")</f>
        <v>Senegal</v>
      </c>
      <c r="AM72" s="38">
        <f t="shared" ca="1" si="233"/>
        <v>2</v>
      </c>
      <c r="AN72" s="39">
        <f t="shared" ca="1" si="233"/>
        <v>3</v>
      </c>
      <c r="AO72" s="39">
        <f t="shared" ca="1" si="233"/>
        <v>0</v>
      </c>
      <c r="AP72" s="39">
        <f t="shared" ca="1" si="233"/>
        <v>2</v>
      </c>
      <c r="AQ72" s="39">
        <f t="shared" ca="1" si="233"/>
        <v>1</v>
      </c>
      <c r="AR72" s="39">
        <f t="shared" ca="1" si="233"/>
        <v>1</v>
      </c>
      <c r="AS72" s="39">
        <f t="shared" ca="1" si="233"/>
        <v>3</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217"/>
        <v>Empate</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v>
      </c>
      <c r="AC73" s="53">
        <v>0</v>
      </c>
      <c r="AD73" s="54">
        <v>0</v>
      </c>
      <c r="AE73" s="596" t="str" cm="1">
        <f t="array" aca="1" ref="AE73" ca="1">Ver_flag_visit</f>
        <v>🇮🇶</v>
      </c>
      <c r="AF73" s="33" t="str">
        <f ca="1">A71</f>
        <v>Irak</v>
      </c>
      <c r="AG73" s="323">
        <f t="shared" si="230"/>
        <v>1</v>
      </c>
      <c r="AH73" s="195">
        <v>62</v>
      </c>
      <c r="AI73" s="181" t="str">
        <f t="shared" si="234"/>
        <v>4I</v>
      </c>
      <c r="AJ73" s="44">
        <v>4</v>
      </c>
      <c r="AK73" s="604" t="str" cm="1">
        <f t="array" aca="1" ref="AK73" ca="1">Ver_flag_visit</f>
        <v>🇮🇶</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0</v>
      </c>
      <c r="AS73" s="47">
        <f t="shared" ca="1" si="233"/>
        <v>4</v>
      </c>
      <c r="AT73" s="48">
        <f t="shared" ca="1" si="233"/>
        <v>-4</v>
      </c>
      <c r="AU73" s="330">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str" cm="1">
        <f t="array" aca="1" ref="AB76" ca="1">Ver_flag_local</f>
        <v>🇦🇷</v>
      </c>
      <c r="AC76" s="50">
        <v>3</v>
      </c>
      <c r="AD76" s="51">
        <v>0</v>
      </c>
      <c r="AE76" s="595" t="str" cm="1">
        <f t="array" aca="1" ref="AE76" ca="1">Ver_flag_visit</f>
        <v>🇩🇿</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v>
      </c>
      <c r="AC77" s="50">
        <v>2</v>
      </c>
      <c r="AD77" s="51">
        <v>0</v>
      </c>
      <c r="AE77" s="595" t="str" cm="1">
        <f t="array" aca="1" ref="AE77" ca="1">Ver_flag_visit</f>
        <v>🇯🇴</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str" cm="1">
        <f t="array" aca="1" ref="AB78" ca="1">Ver_flag_local</f>
        <v>🇦🇷</v>
      </c>
      <c r="AC78" s="50">
        <v>2</v>
      </c>
      <c r="AD78" s="51">
        <v>1</v>
      </c>
      <c r="AE78" s="595" t="str" cm="1">
        <f t="array" aca="1" ref="AE78" ca="1">Ver_flag_visit</f>
        <v>🇦🇹</v>
      </c>
      <c r="AF78" s="32" t="str">
        <f ca="1">A79</f>
        <v>Austria</v>
      </c>
      <c r="AG78" s="323">
        <f t="shared" si="248"/>
        <v>1</v>
      </c>
      <c r="AH78" s="195">
        <v>43</v>
      </c>
      <c r="AI78" s="181" t="str">
        <f>AJ78&amp;$B$76</f>
        <v>1J</v>
      </c>
      <c r="AJ78" s="40">
        <v>1</v>
      </c>
      <c r="AK78" s="601" t="str" cm="1">
        <f t="array" aca="1" ref="AK78" ca="1">Ver_flag_visit</f>
        <v>🇦🇷</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str" cm="1">
        <f t="array" aca="1" ref="AB79" ca="1">Ver_flag_local</f>
        <v>🇯🇴</v>
      </c>
      <c r="AC79" s="50">
        <v>0</v>
      </c>
      <c r="AD79" s="51">
        <v>1</v>
      </c>
      <c r="AE79" s="595" t="str" cm="1">
        <f t="array" aca="1" ref="AE79" ca="1">Ver_flag_visit</f>
        <v>🇩🇿</v>
      </c>
      <c r="AF79" s="32" t="str">
        <f ca="1">A78</f>
        <v>Argelia</v>
      </c>
      <c r="AG79" s="323">
        <f t="shared" si="248"/>
        <v>1</v>
      </c>
      <c r="AH79" s="195">
        <v>44</v>
      </c>
      <c r="AI79" s="181" t="str">
        <f t="shared" ref="AI79:AI81" si="252">AJ79&amp;$B$76</f>
        <v>2J</v>
      </c>
      <c r="AJ79" s="42">
        <v>2</v>
      </c>
      <c r="AK79" s="602" t="str" cm="1">
        <f t="array" aca="1" ref="AK79" ca="1">Ver_flag_visit</f>
        <v>🇦🇹</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str" cm="1">
        <f t="array" aca="1" ref="AB80" ca="1">Ver_flag_local</f>
        <v>🇩🇿</v>
      </c>
      <c r="AC80" s="50">
        <v>1</v>
      </c>
      <c r="AD80" s="51">
        <v>1</v>
      </c>
      <c r="AE80" s="595" t="str" cm="1">
        <f t="array" aca="1" ref="AE80" ca="1">Ver_flag_visit</f>
        <v>🇦🇹</v>
      </c>
      <c r="AF80" s="32" t="str">
        <f ca="1">A79</f>
        <v>Austria</v>
      </c>
      <c r="AG80" s="323">
        <f t="shared" si="248"/>
        <v>1</v>
      </c>
      <c r="AH80" s="195">
        <v>69</v>
      </c>
      <c r="AI80" s="181" t="str">
        <f t="shared" si="252"/>
        <v>3J</v>
      </c>
      <c r="AJ80" s="42">
        <v>3</v>
      </c>
      <c r="AK80" s="602" t="str" cm="1">
        <f t="array" aca="1" ref="AK80" ca="1">Ver_flag_visit</f>
        <v>🇩🇿</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2</v>
      </c>
      <c r="AS80" s="39">
        <f t="shared" ca="1" si="251"/>
        <v>4</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v>
      </c>
      <c r="AC81" s="53">
        <v>0</v>
      </c>
      <c r="AD81" s="54">
        <v>2</v>
      </c>
      <c r="AE81" s="596" t="str" cm="1">
        <f t="array" aca="1" ref="AE81" ca="1">Ver_flag_visit</f>
        <v>🇦🇷</v>
      </c>
      <c r="AF81" s="33" t="str">
        <f ca="1">A77</f>
        <v>Argentina</v>
      </c>
      <c r="AG81" s="323">
        <f t="shared" si="248"/>
        <v>1</v>
      </c>
      <c r="AH81" s="195">
        <v>70</v>
      </c>
      <c r="AI81" s="181" t="str">
        <f t="shared" si="252"/>
        <v>4J</v>
      </c>
      <c r="AJ81" s="44">
        <v>4</v>
      </c>
      <c r="AK81" s="604" t="str" cm="1">
        <f t="array" aca="1" ref="AK81" ca="1">Ver_flag_visit</f>
        <v>🇯🇴</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5</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56" t="s">
        <v>449</v>
      </c>
      <c r="X84" s="24">
        <f ca="1">Horarios!C84</f>
        <v>46190.791666666664</v>
      </c>
      <c r="Y84" s="25">
        <f ca="1">Horarios!C84</f>
        <v>46190.791666666664</v>
      </c>
      <c r="Z84" s="26" t="str">
        <f>$Z$4</f>
        <v>J1</v>
      </c>
      <c r="AA84" s="27" t="str">
        <f ca="1">A85</f>
        <v>Portugal</v>
      </c>
      <c r="AB84" s="49" t="str" cm="1">
        <f t="array" aca="1" ref="AB84" ca="1">Ver_flag_local</f>
        <v>🇵🇹</v>
      </c>
      <c r="AC84" s="50">
        <v>2</v>
      </c>
      <c r="AD84" s="51">
        <v>0</v>
      </c>
      <c r="AE84" s="595" t="str" cm="1">
        <f t="array" aca="1" ref="AE84" ca="1">Ver_flag_visit</f>
        <v>🇨🇩</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56"/>
      <c r="X85" s="24">
        <f ca="1">Horarios!C85</f>
        <v>46191.166666666664</v>
      </c>
      <c r="Y85" s="25">
        <f ca="1">Horarios!C85</f>
        <v>46191.166666666664</v>
      </c>
      <c r="Z85" s="26" t="str">
        <f>$Z$4</f>
        <v>J1</v>
      </c>
      <c r="AA85" s="27" t="str">
        <f ca="1">A87</f>
        <v>Uzbekistán</v>
      </c>
      <c r="AB85" s="49" t="str" cm="1">
        <f t="array" aca="1" ref="AB85" ca="1">Ver_flag_local</f>
        <v>🇺🇿</v>
      </c>
      <c r="AC85" s="50">
        <v>0</v>
      </c>
      <c r="AD85" s="51">
        <v>2</v>
      </c>
      <c r="AE85" s="595" t="str" cm="1">
        <f t="array" aca="1" ref="AE85" ca="1">Ver_flag_visit</f>
        <v>🇨🇴</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56"/>
      <c r="X86" s="24">
        <f ca="1">Horarios!C86</f>
        <v>46196.791666666664</v>
      </c>
      <c r="Y86" s="25">
        <f ca="1">Horarios!C86</f>
        <v>46196.791666666664</v>
      </c>
      <c r="Z86" s="26" t="str">
        <f>$Z$6</f>
        <v>J2</v>
      </c>
      <c r="AA86" s="27" t="str">
        <f ca="1">A85</f>
        <v>Portugal</v>
      </c>
      <c r="AB86" s="49" t="str" cm="1">
        <f t="array" aca="1" ref="AB86" ca="1">Ver_flag_local</f>
        <v>🇵🇹</v>
      </c>
      <c r="AC86" s="50">
        <v>2</v>
      </c>
      <c r="AD86" s="51">
        <v>0</v>
      </c>
      <c r="AE86" s="595" t="str" cm="1">
        <f t="array" aca="1" ref="AE86" ca="1">Ver_flag_visit</f>
        <v>🇺🇿</v>
      </c>
      <c r="AF86" s="32" t="str">
        <f ca="1">A87</f>
        <v>Uzbekistán</v>
      </c>
      <c r="AG86" s="323">
        <f t="shared" si="266"/>
        <v>1</v>
      </c>
      <c r="AH86" s="195">
        <v>47</v>
      </c>
      <c r="AI86" s="181" t="str">
        <f>AJ86&amp;$B$84</f>
        <v>1K</v>
      </c>
      <c r="AJ86" s="40">
        <v>1</v>
      </c>
      <c r="AK86" s="601" t="str" cm="1">
        <f t="array" aca="1" ref="AK86" ca="1">Ver_flag_visit</f>
        <v>🇵🇹</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5</v>
      </c>
      <c r="AS86" s="36">
        <f t="shared" ca="1" si="269"/>
        <v>1</v>
      </c>
      <c r="AT86" s="41">
        <f t="shared" ca="1" si="269"/>
        <v>4</v>
      </c>
      <c r="AU86" s="330">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56"/>
      <c r="X87" s="24">
        <f ca="1">Horarios!C87</f>
        <v>46197.166666666664</v>
      </c>
      <c r="Y87" s="25">
        <f ca="1">Horarios!C87</f>
        <v>46197.166666666664</v>
      </c>
      <c r="Z87" s="26" t="str">
        <f>$Z$6</f>
        <v>J2</v>
      </c>
      <c r="AA87" s="27" t="str">
        <f ca="1">A88</f>
        <v>Colombia</v>
      </c>
      <c r="AB87" s="49" t="str" cm="1">
        <f t="array" aca="1" ref="AB87" ca="1">Ver_flag_local</f>
        <v>🇨🇴</v>
      </c>
      <c r="AC87" s="50">
        <v>1</v>
      </c>
      <c r="AD87" s="51">
        <v>0</v>
      </c>
      <c r="AE87" s="595" t="str" cm="1">
        <f t="array" aca="1" ref="AE87" ca="1">Ver_flag_visit</f>
        <v>🇨🇩</v>
      </c>
      <c r="AF87" s="32" t="str">
        <f ca="1">A86</f>
        <v>RD Congo</v>
      </c>
      <c r="AG87" s="323">
        <f t="shared" si="266"/>
        <v>1</v>
      </c>
      <c r="AH87" s="195">
        <v>48</v>
      </c>
      <c r="AI87" s="181" t="str">
        <f t="shared" ref="AI87:AI89" si="270">AJ87&amp;$B$84</f>
        <v>2K</v>
      </c>
      <c r="AJ87" s="42">
        <v>2</v>
      </c>
      <c r="AK87" s="602" t="str" cm="1">
        <f t="array" aca="1" ref="AK87" ca="1">Ver_flag_visit</f>
        <v>🇨🇴</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4</v>
      </c>
      <c r="AS87" s="39">
        <f t="shared" ca="1" si="269"/>
        <v>1</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56"/>
      <c r="X88" s="24">
        <f ca="1">Horarios!C88</f>
        <v>46201.0625</v>
      </c>
      <c r="Y88" s="25">
        <f ca="1">Horarios!C88</f>
        <v>46201.0625</v>
      </c>
      <c r="Z88" s="26" t="str">
        <f>$Z$8</f>
        <v>J3</v>
      </c>
      <c r="AA88" s="27" t="str">
        <f ca="1">A88</f>
        <v>Colombia</v>
      </c>
      <c r="AB88" s="49" t="str" cm="1">
        <f t="array" aca="1" ref="AB88" ca="1">Ver_flag_local</f>
        <v>🇨🇴</v>
      </c>
      <c r="AC88" s="50">
        <v>1</v>
      </c>
      <c r="AD88" s="51">
        <v>1</v>
      </c>
      <c r="AE88" s="595" t="str" cm="1">
        <f t="array" aca="1" ref="AE88" ca="1">Ver_flag_visit</f>
        <v>🇵🇹</v>
      </c>
      <c r="AF88" s="32" t="str">
        <f ca="1">A85</f>
        <v>Portugal</v>
      </c>
      <c r="AG88" s="323">
        <f t="shared" si="266"/>
        <v>1</v>
      </c>
      <c r="AH88" s="195">
        <v>71</v>
      </c>
      <c r="AI88" s="181" t="str">
        <f t="shared" si="270"/>
        <v>3K</v>
      </c>
      <c r="AJ88" s="42">
        <v>3</v>
      </c>
      <c r="AK88" s="602" t="str" cm="1">
        <f t="array" aca="1" ref="AK88" ca="1">Ver_flag_visit</f>
        <v>🇨🇩</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4</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57"/>
      <c r="X89" s="28">
        <f ca="1">Horarios!C89</f>
        <v>46201.0625</v>
      </c>
      <c r="Y89" s="29">
        <f ca="1">Horarios!C89</f>
        <v>46201.0625</v>
      </c>
      <c r="Z89" s="30" t="str">
        <f>$Z$8</f>
        <v>J3</v>
      </c>
      <c r="AA89" s="31" t="str">
        <f ca="1">A86</f>
        <v>RD Congo</v>
      </c>
      <c r="AB89" s="52" t="str" cm="1">
        <f t="array" aca="1" ref="AB89" ca="1">Ver_flag_local</f>
        <v>🇨🇩</v>
      </c>
      <c r="AC89" s="53">
        <v>1</v>
      </c>
      <c r="AD89" s="54">
        <v>1</v>
      </c>
      <c r="AE89" s="596" t="str" cm="1">
        <f t="array" aca="1" ref="AE89" ca="1">Ver_flag_visit</f>
        <v>🇺🇿</v>
      </c>
      <c r="AF89" s="33" t="str">
        <f ca="1">A87</f>
        <v>Uzbekistán</v>
      </c>
      <c r="AG89" s="323">
        <f t="shared" si="266"/>
        <v>1</v>
      </c>
      <c r="AH89" s="195">
        <v>72</v>
      </c>
      <c r="AI89" s="181" t="str">
        <f t="shared" si="270"/>
        <v>4K</v>
      </c>
      <c r="AJ89" s="44">
        <v>4</v>
      </c>
      <c r="AK89" s="604" t="str" cm="1">
        <f t="array" aca="1" ref="AK89" ca="1">Ver_flag_visit</f>
        <v>🇺🇿</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5</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v>
      </c>
      <c r="AC92" s="50">
        <v>2</v>
      </c>
      <c r="AD92" s="51">
        <v>1</v>
      </c>
      <c r="AE92" s="595" t="str" cm="1">
        <f t="array" aca="1" ref="AE92" ca="1">Ver_flag_visit</f>
        <v>🇭🇷</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v>
      </c>
      <c r="AC93" s="50">
        <v>1</v>
      </c>
      <c r="AD93" s="51">
        <v>0</v>
      </c>
      <c r="AE93" s="595" t="str" cm="1">
        <f t="array" aca="1" ref="AE93" ca="1">Ver_flag_visit</f>
        <v>🇵🇦</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v>
      </c>
      <c r="AC94" s="50">
        <v>1</v>
      </c>
      <c r="AD94" s="51">
        <v>0</v>
      </c>
      <c r="AE94" s="595" t="str" cm="1">
        <f t="array" aca="1" ref="AE94" ca="1">Ver_flag_visit</f>
        <v>🇬🇭</v>
      </c>
      <c r="AF94" s="32" t="str">
        <f ca="1">A95</f>
        <v>Ghana</v>
      </c>
      <c r="AG94" s="323">
        <f t="shared" si="284"/>
        <v>1</v>
      </c>
      <c r="AH94" s="195">
        <v>45</v>
      </c>
      <c r="AI94" s="181" t="str">
        <f>AJ94&amp;$B$92</f>
        <v>1L</v>
      </c>
      <c r="AJ94" s="40">
        <v>1</v>
      </c>
      <c r="AK94" s="601" t="str" cm="1">
        <f t="array" aca="1" ref="AK94" ca="1">Ver_flag_visit</f>
        <v>🏴󠁧󠁢󠁥󠁮󠁧󠁿</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5</v>
      </c>
      <c r="AS94" s="36">
        <f t="shared" ca="1" si="287"/>
        <v>1</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v>
      </c>
      <c r="AC95" s="50">
        <v>0</v>
      </c>
      <c r="AD95" s="51">
        <v>2</v>
      </c>
      <c r="AE95" s="595" t="str" cm="1">
        <f t="array" aca="1" ref="AE95" ca="1">Ver_flag_visit</f>
        <v>🇭🇷</v>
      </c>
      <c r="AF95" s="32" t="str">
        <f ca="1">A94</f>
        <v>Croacia</v>
      </c>
      <c r="AG95" s="323">
        <f t="shared" si="284"/>
        <v>1</v>
      </c>
      <c r="AH95" s="195">
        <v>46</v>
      </c>
      <c r="AI95" s="181" t="str">
        <f t="shared" ref="AI95:AI97" si="288">AJ95&amp;$B$92</f>
        <v>2L</v>
      </c>
      <c r="AJ95" s="42">
        <v>2</v>
      </c>
      <c r="AK95" s="602" t="str" cm="1">
        <f t="array" aca="1" ref="AK95" ca="1">Ver_flag_visit</f>
        <v>🇭🇷</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2</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v>
      </c>
      <c r="AC96" s="50">
        <v>0</v>
      </c>
      <c r="AD96" s="51">
        <v>2</v>
      </c>
      <c r="AE96" s="595" t="str" cm="1">
        <f t="array" aca="1" ref="AE96" ca="1">Ver_flag_visit</f>
        <v>🏴󠁧󠁢󠁥󠁮󠁧󠁿</v>
      </c>
      <c r="AF96" s="32" t="str">
        <f ca="1">A93</f>
        <v>Inglaterra</v>
      </c>
      <c r="AG96" s="323">
        <f t="shared" si="284"/>
        <v>1</v>
      </c>
      <c r="AH96" s="195">
        <v>67</v>
      </c>
      <c r="AI96" s="181" t="str">
        <f t="shared" si="288"/>
        <v>3L</v>
      </c>
      <c r="AJ96" s="42">
        <v>3</v>
      </c>
      <c r="AK96" s="602" t="str" cm="1">
        <f t="array" aca="1" ref="AK96" ca="1">Ver_flag_visit</f>
        <v>🇬🇭</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1</v>
      </c>
      <c r="AS96" s="39">
        <f t="shared" ca="1" si="287"/>
        <v>2</v>
      </c>
      <c r="AT96" s="43">
        <f t="shared" ca="1" si="287"/>
        <v>-1</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v>
      </c>
      <c r="AC97" s="53">
        <v>1</v>
      </c>
      <c r="AD97" s="54">
        <v>0</v>
      </c>
      <c r="AE97" s="596" t="str" cm="1">
        <f t="array" aca="1" ref="AE97" ca="1">Ver_flag_visit</f>
        <v>🇬🇭</v>
      </c>
      <c r="AF97" s="33" t="str">
        <f ca="1">A95</f>
        <v>Ghana</v>
      </c>
      <c r="AG97" s="323">
        <f t="shared" si="284"/>
        <v>1</v>
      </c>
      <c r="AH97" s="195">
        <v>68</v>
      </c>
      <c r="AI97" s="181" t="str">
        <f t="shared" si="288"/>
        <v>4L</v>
      </c>
      <c r="AJ97" s="44">
        <v>4</v>
      </c>
      <c r="AK97" s="604" t="str" cm="1">
        <f t="array" aca="1" ref="AK97" ca="1">Ver_flag_visit</f>
        <v>🇵🇦</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5</v>
      </c>
      <c r="AT97" s="48">
        <f t="shared" ca="1" si="287"/>
        <v>-5</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Sudáfrica</v>
      </c>
      <c r="AB101" s="89"/>
      <c r="AC101" s="51">
        <v>0</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BCDEFHJL</v>
      </c>
      <c r="BA101" s="176"/>
    </row>
    <row r="102" spans="1:62" ht="16" customHeight="1" x14ac:dyDescent="0.2">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str" cm="1">
        <f t="array" aca="1" ref="AK102" ca="1">Ver_flag_visit</f>
        <v>🇵🇾</v>
      </c>
      <c r="AL102" s="81" t="str">
        <f t="shared" ref="AL102:AL113" ca="1" si="297">+IF($H$113&gt;=48,INDEX($BD$58:$BD$69,MATCH(AI102,$BN$58:$BN$69,0)),BB58)</f>
        <v>Paraguay</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3</v>
      </c>
      <c r="AS102" s="83">
        <f t="shared" ca="1" si="298"/>
        <v>3</v>
      </c>
      <c r="AT102" s="84">
        <f t="shared" ca="1" si="298"/>
        <v>0</v>
      </c>
      <c r="AU102" s="330">
        <f t="shared" ref="AU102:AU113" ca="1" si="299">IF($H$113=144,INDEX($DL$58:$DL$69,MATCH(AI102,$DP$58:$DP$69,0)),"")</f>
        <v>1</v>
      </c>
      <c r="AV102" s="182" t="str">
        <f t="shared" ref="AV102:AV113" ca="1" si="300">INDEX($BD$58:$BD$69,MATCH(AI102,$BM$58:$BM$69,0))</f>
        <v>Paraguay</v>
      </c>
      <c r="AW102" s="215"/>
      <c r="AX102" s="170"/>
      <c r="AY102" s="154"/>
      <c r="AZ102" s="155"/>
      <c r="BA102" s="176"/>
      <c r="BE102" t="s">
        <v>454</v>
      </c>
      <c r="BF102" t="s">
        <v>730</v>
      </c>
      <c r="BG102" t="s">
        <v>775</v>
      </c>
      <c r="BI102" t="s">
        <v>86</v>
      </c>
    </row>
    <row r="103" spans="1:62" ht="16"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str" cm="1">
        <f t="array" aca="1" ref="AK103" ca="1">Ver_flag_visit</f>
        <v>🇩🇿</v>
      </c>
      <c r="AL103" s="85" t="str">
        <f t="shared" ca="1" si="297"/>
        <v>Argelia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2</v>
      </c>
      <c r="AS103" s="86">
        <f t="shared" ca="1" si="302"/>
        <v>4</v>
      </c>
      <c r="AT103" s="87">
        <f t="shared" ca="1" si="302"/>
        <v>-2</v>
      </c>
      <c r="AU103" s="330">
        <f t="shared" ca="1" si="299"/>
        <v>1</v>
      </c>
      <c r="AV103" s="182" t="str">
        <f t="shared" ca="1" si="300"/>
        <v>Argelia</v>
      </c>
      <c r="AW103" s="215"/>
      <c r="AX103" s="170"/>
      <c r="AY103" s="276"/>
      <c r="AZ103" s="279" t="str">
        <f t="shared" ref="AZ103:AZ110" ca="1" si="303">+IF(OR($H$113&gt;=48,$AJ$99=144),BF117&amp;" - "&amp;BG117,"")</f>
        <v>1A - 3C</v>
      </c>
      <c r="BA103" s="176"/>
      <c r="BF103" t="str">
        <f t="shared" ref="BF103:BF110" ca="1" si="304">IFERROR(INDEX($BC$6:$BC$53,MATCH(AL102,$BD$6:$BD$53,0)),"")</f>
        <v>D</v>
      </c>
      <c r="BG103">
        <f t="shared" ref="BG103:BG110" ca="1" si="305">COUNTIF($BF$103:$BF$110,"&lt;="&amp;BF103)</f>
        <v>3</v>
      </c>
      <c r="BI103">
        <v>1</v>
      </c>
      <c r="BJ103" t="str">
        <f t="shared" ref="BJ103:BJ110" ca="1" si="306">IFERROR(INDEX($BF$103:$BF$110,MATCH(BI103,$BG$103:$BG$110,0)),"Grupo")</f>
        <v>B</v>
      </c>
    </row>
    <row r="104" spans="1:62" ht="16" customHeight="1" x14ac:dyDescent="0.2">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1</v>
      </c>
      <c r="AD104" s="92">
        <v>0</v>
      </c>
      <c r="AE104" s="89"/>
      <c r="AF104" s="91" t="str">
        <f t="shared" ca="1" si="293"/>
        <v>Marruecos</v>
      </c>
      <c r="AG104" s="327">
        <f t="shared" ca="1" si="294"/>
        <v>1</v>
      </c>
      <c r="AH104" s="195">
        <v>75</v>
      </c>
      <c r="AI104" s="182">
        <v>3</v>
      </c>
      <c r="AJ104" s="42">
        <v>3</v>
      </c>
      <c r="AK104" s="602" t="str" cm="1">
        <f t="array" aca="1" ref="AK104" ca="1">Ver_flag_visit</f>
        <v>🇨🇭</v>
      </c>
      <c r="AL104" s="85" t="str">
        <f t="shared" ca="1" si="297"/>
        <v>Suiza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4</v>
      </c>
      <c r="AS104" s="86">
        <f t="shared" ca="1" si="307"/>
        <v>3</v>
      </c>
      <c r="AT104" s="87">
        <f t="shared" ca="1" si="307"/>
        <v>1</v>
      </c>
      <c r="AU104" s="330">
        <f t="shared" ca="1" si="299"/>
        <v>1</v>
      </c>
      <c r="AV104" s="182" t="str">
        <f t="shared" ca="1" si="300"/>
        <v>Suiza</v>
      </c>
      <c r="AW104" s="215"/>
      <c r="AX104" s="170"/>
      <c r="AY104" s="276"/>
      <c r="AZ104" s="279" t="str">
        <f t="shared" ca="1" si="303"/>
        <v>1B - 3J</v>
      </c>
      <c r="BA104" s="176"/>
      <c r="BF104" t="str">
        <f t="shared" ca="1" si="304"/>
        <v>J</v>
      </c>
      <c r="BG104">
        <f t="shared" ca="1" si="305"/>
        <v>7</v>
      </c>
      <c r="BI104">
        <v>2</v>
      </c>
      <c r="BJ104" t="str">
        <f t="shared" ca="1" si="306"/>
        <v>C</v>
      </c>
    </row>
    <row r="105" spans="1:62" ht="16" customHeight="1" x14ac:dyDescent="0.2">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0</v>
      </c>
      <c r="AD105" s="92">
        <v>1</v>
      </c>
      <c r="AE105" s="89"/>
      <c r="AF105" s="91" t="str">
        <f t="shared" ca="1" si="293"/>
        <v>Noruega</v>
      </c>
      <c r="AG105" s="327">
        <f t="shared" ca="1" si="294"/>
        <v>1</v>
      </c>
      <c r="AH105" s="195">
        <v>78</v>
      </c>
      <c r="AI105" s="182">
        <v>4</v>
      </c>
      <c r="AJ105" s="42">
        <v>4</v>
      </c>
      <c r="AK105" s="602" t="str" cm="1">
        <f t="array" aca="1" ref="AK105" ca="1">Ver_flag_visit</f>
        <v>🏴󠁧󠁢󠁳󠁣󠁴󠁿</v>
      </c>
      <c r="AL105" s="85" t="str">
        <f t="shared" ca="1" si="297"/>
        <v>Escocia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3</v>
      </c>
      <c r="AS105" s="86">
        <f t="shared" ca="1" si="308"/>
        <v>4</v>
      </c>
      <c r="AT105" s="87">
        <f t="shared" ca="1" si="308"/>
        <v>-1</v>
      </c>
      <c r="AU105" s="330">
        <f t="shared" ca="1" si="299"/>
        <v>1</v>
      </c>
      <c r="AV105" s="182" t="str">
        <f t="shared" ca="1" si="300"/>
        <v>Escocia</v>
      </c>
      <c r="AW105" s="215"/>
      <c r="AX105" s="170"/>
      <c r="AY105" s="276"/>
      <c r="AZ105" s="279" t="str">
        <f t="shared" ca="1" si="303"/>
        <v>1D - 3B</v>
      </c>
      <c r="BA105" s="176"/>
      <c r="BF105" t="str">
        <f t="shared" ca="1" si="304"/>
        <v>B</v>
      </c>
      <c r="BG105">
        <f t="shared" ca="1" si="305"/>
        <v>1</v>
      </c>
      <c r="BI105">
        <v>3</v>
      </c>
      <c r="BJ105" t="str">
        <f t="shared" ca="1" si="306"/>
        <v>D</v>
      </c>
    </row>
    <row r="106" spans="1:62" ht="16"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Suecia</v>
      </c>
      <c r="AG106" s="327">
        <f t="shared" ca="1" si="294"/>
        <v>1</v>
      </c>
      <c r="AH106" s="195">
        <v>77</v>
      </c>
      <c r="AI106" s="182">
        <v>5</v>
      </c>
      <c r="AJ106" s="42">
        <v>5</v>
      </c>
      <c r="AK106" s="602" t="str" cm="1">
        <f t="array" aca="1" ref="AK106" ca="1">Ver_flag_visit</f>
        <v>🇬🇭</v>
      </c>
      <c r="AL106" s="85" t="str">
        <f t="shared" ca="1" si="297"/>
        <v>Ghana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1</v>
      </c>
      <c r="AS106" s="86">
        <f t="shared" ca="1" si="309"/>
        <v>2</v>
      </c>
      <c r="AT106" s="87">
        <f t="shared" ca="1" si="309"/>
        <v>-1</v>
      </c>
      <c r="AU106" s="330">
        <f t="shared" ca="1" si="299"/>
        <v>2</v>
      </c>
      <c r="AV106" s="182" t="str">
        <f t="shared" ca="1" si="300"/>
        <v>Ghana</v>
      </c>
      <c r="AW106" s="215">
        <v>5</v>
      </c>
      <c r="AX106" s="170"/>
      <c r="AY106" s="276"/>
      <c r="AZ106" s="279" t="str">
        <f t="shared" ca="1" si="303"/>
        <v>1E - 3D</v>
      </c>
      <c r="BA106" s="176"/>
      <c r="BF106" t="str">
        <f t="shared" ca="1" si="304"/>
        <v>C</v>
      </c>
      <c r="BG106">
        <f t="shared" ca="1" si="305"/>
        <v>2</v>
      </c>
      <c r="BI106">
        <v>4</v>
      </c>
      <c r="BJ106" t="str">
        <f t="shared" ca="1" si="306"/>
        <v>E</v>
      </c>
    </row>
    <row r="107" spans="1:62" ht="16" customHeight="1" x14ac:dyDescent="0.2">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Escocia</v>
      </c>
      <c r="AG107" s="327">
        <f t="shared" ca="1" si="294"/>
        <v>1</v>
      </c>
      <c r="AH107" s="195">
        <v>79</v>
      </c>
      <c r="AI107" s="182">
        <v>6</v>
      </c>
      <c r="AJ107" s="42">
        <v>6</v>
      </c>
      <c r="AK107" s="602" t="str" cm="1">
        <f t="array" aca="1" ref="AK107" ca="1">Ver_flag_visit</f>
        <v>🇸🇪</v>
      </c>
      <c r="AL107" s="85" t="str">
        <f t="shared" ca="1" si="297"/>
        <v>Suecia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1</v>
      </c>
      <c r="AS107" s="86">
        <f t="shared" ca="1" si="310"/>
        <v>2</v>
      </c>
      <c r="AT107" s="87">
        <f t="shared" ca="1" si="310"/>
        <v>-1</v>
      </c>
      <c r="AU107" s="330">
        <f t="shared" ca="1" si="299"/>
        <v>2</v>
      </c>
      <c r="AV107" s="182" t="str">
        <f ca="1">INDEX($BD$58:$BD$69,MATCH(AI107,$BM$58:$BM$69,0))</f>
        <v>Suecia</v>
      </c>
      <c r="AW107" s="215">
        <v>6</v>
      </c>
      <c r="AX107" s="170"/>
      <c r="AY107" s="276"/>
      <c r="AZ107" s="279" t="str">
        <f t="shared" ca="1" si="303"/>
        <v>1G - 3H</v>
      </c>
      <c r="BA107" s="176"/>
      <c r="BF107" t="str">
        <f t="shared" ca="1" si="304"/>
        <v>L</v>
      </c>
      <c r="BG107">
        <f t="shared" ca="1" si="305"/>
        <v>8</v>
      </c>
      <c r="BI107">
        <v>5</v>
      </c>
      <c r="BJ107" t="str">
        <f t="shared" ca="1" si="306"/>
        <v>F</v>
      </c>
    </row>
    <row r="108" spans="1:62" ht="16"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1</v>
      </c>
      <c r="AE108" s="89"/>
      <c r="AF108" s="91" t="str">
        <f t="shared" ca="1" si="293"/>
        <v>Costa de Marfil</v>
      </c>
      <c r="AG108" s="327">
        <f t="shared" ca="1" si="294"/>
        <v>1</v>
      </c>
      <c r="AH108" s="195">
        <v>80</v>
      </c>
      <c r="AI108" s="182">
        <v>7</v>
      </c>
      <c r="AJ108" s="42">
        <v>7</v>
      </c>
      <c r="AK108" s="602" t="str" cm="1">
        <f t="array" aca="1" ref="AK108" ca="1">Ver_flag_visit</f>
        <v>🇨🇮</v>
      </c>
      <c r="AL108" s="85" t="str">
        <f t="shared" ca="1" si="297"/>
        <v>Costa de Marfil</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2</v>
      </c>
      <c r="AS108" s="86">
        <f t="shared" ca="1" si="311"/>
        <v>4</v>
      </c>
      <c r="AT108" s="87">
        <f t="shared" ca="1" si="311"/>
        <v>-2</v>
      </c>
      <c r="AU108" s="330">
        <f t="shared" ca="1" si="299"/>
        <v>1</v>
      </c>
      <c r="AV108" s="182" t="str">
        <f t="shared" ca="1" si="300"/>
        <v>Costa de Marfil</v>
      </c>
      <c r="AW108" s="215"/>
      <c r="AX108" s="170"/>
      <c r="AY108" s="276"/>
      <c r="AZ108" s="279" t="str">
        <f t="shared" ca="1" si="303"/>
        <v>1I - 3F</v>
      </c>
      <c r="BA108" s="176"/>
      <c r="BF108" t="str">
        <f t="shared" ca="1" si="304"/>
        <v>F</v>
      </c>
      <c r="BG108">
        <f t="shared" ca="1" si="305"/>
        <v>5</v>
      </c>
      <c r="BI108">
        <v>6</v>
      </c>
      <c r="BJ108" t="str">
        <f t="shared" ca="1" si="306"/>
        <v>H</v>
      </c>
    </row>
    <row r="109" spans="1:62" ht="16" customHeight="1" x14ac:dyDescent="0.2">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Suiza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Arabia Saudita</v>
      </c>
      <c r="AG109" s="327">
        <f t="shared" ca="1" si="294"/>
        <v>1</v>
      </c>
      <c r="AH109" s="195">
        <v>82</v>
      </c>
      <c r="AI109" s="182">
        <v>8</v>
      </c>
      <c r="AJ109" s="42">
        <v>8</v>
      </c>
      <c r="AK109" s="602" t="str" cm="1">
        <f t="array" aca="1" ref="AK109" ca="1">Ver_flag_visit</f>
        <v>🇸🇦</v>
      </c>
      <c r="AL109" s="85" t="str">
        <f t="shared" ca="1" si="297"/>
        <v>Arabia Saudita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1</v>
      </c>
      <c r="AS109" s="86">
        <f t="shared" ca="1" si="312"/>
        <v>4</v>
      </c>
      <c r="AT109" s="87">
        <f t="shared" ca="1" si="312"/>
        <v>-3</v>
      </c>
      <c r="AU109" s="330">
        <f t="shared" ca="1" si="299"/>
        <v>1</v>
      </c>
      <c r="AV109" s="182" t="str">
        <f t="shared" ca="1" si="300"/>
        <v>Arabia Saudita</v>
      </c>
      <c r="AW109" s="215"/>
      <c r="AX109" s="170"/>
      <c r="AY109" s="276"/>
      <c r="AZ109" s="279" t="str">
        <f t="shared" ca="1" si="303"/>
        <v>1K - 3L</v>
      </c>
      <c r="BA109" s="176"/>
      <c r="BF109" t="str">
        <f t="shared" ca="1" si="304"/>
        <v>E</v>
      </c>
      <c r="BG109">
        <f t="shared" ca="1" si="305"/>
        <v>4</v>
      </c>
      <c r="BI109">
        <v>7</v>
      </c>
      <c r="BJ109" t="str">
        <f t="shared" ca="1" si="306"/>
        <v>J</v>
      </c>
    </row>
    <row r="110" spans="1:62" ht="16" customHeight="1" x14ac:dyDescent="0.2">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c r="AC110" s="92">
        <v>1</v>
      </c>
      <c r="AD110" s="92">
        <v>0</v>
      </c>
      <c r="AE110" s="89"/>
      <c r="AF110" s="91" t="str">
        <f t="shared" ca="1" si="293"/>
        <v>Suiza</v>
      </c>
      <c r="AG110" s="327">
        <f t="shared" ca="1" si="294"/>
        <v>1</v>
      </c>
      <c r="AH110" s="195">
        <v>81</v>
      </c>
      <c r="AI110" s="182">
        <v>9</v>
      </c>
      <c r="AJ110" s="42">
        <v>9</v>
      </c>
      <c r="AK110" s="602" t="str" cm="1">
        <f t="array" aca="1" ref="AK110" ca="1">Ver_flag_visit</f>
        <v>🇨🇿</v>
      </c>
      <c r="AL110" s="85" t="str">
        <f t="shared" ca="1" si="297"/>
        <v>República Checa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2</v>
      </c>
      <c r="AS110" s="86">
        <f t="shared" ca="1" si="313"/>
        <v>3</v>
      </c>
      <c r="AT110" s="87">
        <f t="shared" ca="1" si="313"/>
        <v>-1</v>
      </c>
      <c r="AU110" s="330">
        <f t="shared" ca="1" si="299"/>
        <v>1</v>
      </c>
      <c r="AV110" s="182" t="str">
        <f t="shared" ca="1" si="300"/>
        <v>República Checa</v>
      </c>
      <c r="AW110" s="215"/>
      <c r="AX110" s="170"/>
      <c r="AY110" s="276"/>
      <c r="AZ110" s="279" t="str">
        <f t="shared" ca="1" si="303"/>
        <v>1L - 3E</v>
      </c>
      <c r="BA110" s="176"/>
      <c r="BF110" t="str">
        <f t="shared" ca="1" si="304"/>
        <v>H</v>
      </c>
      <c r="BG110">
        <f t="shared" ca="1" si="305"/>
        <v>6</v>
      </c>
      <c r="BI110">
        <v>8</v>
      </c>
      <c r="BJ110" t="str">
        <f t="shared" ca="1" si="306"/>
        <v>L</v>
      </c>
    </row>
    <row r="111" spans="1:62" ht="16"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1</v>
      </c>
      <c r="AE111" s="89"/>
      <c r="AF111" s="91" t="str">
        <f t="shared" ca="1" si="293"/>
        <v>Austria</v>
      </c>
      <c r="AG111" s="327">
        <f t="shared" ca="1" si="294"/>
        <v>1</v>
      </c>
      <c r="AH111" s="195">
        <v>84</v>
      </c>
      <c r="AI111" s="182">
        <v>10</v>
      </c>
      <c r="AJ111" s="42">
        <v>10</v>
      </c>
      <c r="AK111" s="602" t="str" cm="1">
        <f t="array" aca="1" ref="AK111" ca="1">Ver_flag_visit</f>
        <v>🇸🇳</v>
      </c>
      <c r="AL111" s="85" t="str">
        <f t="shared" ca="1" si="297"/>
        <v>Senegal</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1</v>
      </c>
      <c r="AS111" s="86">
        <f t="shared" ca="1" si="314"/>
        <v>3</v>
      </c>
      <c r="AT111" s="87">
        <f t="shared" ca="1" si="314"/>
        <v>-2</v>
      </c>
      <c r="AU111" s="330">
        <f t="shared" ca="1" si="299"/>
        <v>2</v>
      </c>
      <c r="AV111" s="182" t="str">
        <f t="shared" ca="1" si="300"/>
        <v>Irán</v>
      </c>
      <c r="AW111" s="215">
        <v>11</v>
      </c>
      <c r="AX111" s="170"/>
      <c r="AY111" s="275"/>
      <c r="AZ111" s="275"/>
      <c r="BA111" s="176"/>
      <c r="BI111" t="s">
        <v>87</v>
      </c>
    </row>
    <row r="112" spans="1:62" ht="16" customHeight="1" x14ac:dyDescent="0.2">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Croacia</v>
      </c>
      <c r="AG112" s="327">
        <f t="shared" ca="1" si="294"/>
        <v>1</v>
      </c>
      <c r="AH112" s="195">
        <v>83</v>
      </c>
      <c r="AI112" s="182">
        <v>11</v>
      </c>
      <c r="AJ112" s="42">
        <v>11</v>
      </c>
      <c r="AK112" s="602" t="str" cm="1">
        <f t="array" aca="1" ref="AK112" ca="1">Ver_flag_visit</f>
        <v>🇮🇷</v>
      </c>
      <c r="AL112" s="85" t="str">
        <f t="shared" ca="1" si="297"/>
        <v>Irán</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1</v>
      </c>
      <c r="AS112" s="86">
        <f t="shared" ca="1" si="315"/>
        <v>3</v>
      </c>
      <c r="AT112" s="87">
        <f t="shared" ca="1" si="315"/>
        <v>-2</v>
      </c>
      <c r="AU112" s="330">
        <f t="shared" ca="1" si="299"/>
        <v>2</v>
      </c>
      <c r="AV112" s="182" t="str">
        <f t="shared" ca="1" si="300"/>
        <v>Senegal</v>
      </c>
      <c r="AW112" s="215">
        <v>10</v>
      </c>
      <c r="AX112" s="170"/>
      <c r="AY112" s="275"/>
      <c r="AZ112" s="275"/>
      <c r="BA112" s="176"/>
      <c r="BI112" t="str">
        <f ca="1">IFERROR(CONCATENATE(BJ103,BJ104,BJ105,BJ106,BJ107,BJ108,BJ109,BJ110),"¿A/B/C/D/E/F/G/H/I/J/K/L?")</f>
        <v>BCDEFHJL</v>
      </c>
    </row>
    <row r="113" spans="1:59" ht="16" customHeight="1" thickBot="1" x14ac:dyDescent="0.25">
      <c r="A113" s="16" t="s">
        <v>659</v>
      </c>
      <c r="B113" s="16" t="s">
        <v>739</v>
      </c>
      <c r="C113" s="16"/>
      <c r="D113" s="16" t="str">
        <f t="shared" ca="1" si="289"/>
        <v>Bosnia y Herzegovina</v>
      </c>
      <c r="E113" s="16" t="s">
        <v>1</v>
      </c>
      <c r="F113" s="16" t="s">
        <v>732</v>
      </c>
      <c r="G113" s="16" t="s">
        <v>732</v>
      </c>
      <c r="H113" s="16">
        <f ca="1">+IF($AJ$99&lt;&gt;144,SUM(H101:H112),$AJ$99)</f>
        <v>144</v>
      </c>
      <c r="I113" s="16"/>
      <c r="J113" s="16">
        <v>85</v>
      </c>
      <c r="K113" s="16">
        <v>46205.75</v>
      </c>
      <c r="L113" s="16" t="s">
        <v>708</v>
      </c>
      <c r="M113" s="16" t="str">
        <f t="shared" ca="1" si="291"/>
        <v>Bosnia y Herzegovina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Bosnia y Herzegovina</v>
      </c>
      <c r="AB113" s="89"/>
      <c r="AC113" s="92">
        <v>2</v>
      </c>
      <c r="AD113" s="92">
        <v>0</v>
      </c>
      <c r="AE113" s="90"/>
      <c r="AF113" s="91" t="str">
        <f t="shared" ca="1" si="293"/>
        <v>Argelia</v>
      </c>
      <c r="AG113" s="327">
        <f t="shared" ca="1" si="294"/>
        <v>1</v>
      </c>
      <c r="AH113" s="195">
        <v>85</v>
      </c>
      <c r="AI113" s="182">
        <v>12</v>
      </c>
      <c r="AJ113" s="44">
        <v>12</v>
      </c>
      <c r="AK113" s="604" t="str" cm="1">
        <f t="array" aca="1" ref="AK113" ca="1">Ver_flag_visit</f>
        <v>🇨🇩</v>
      </c>
      <c r="AL113" s="45" t="str">
        <f t="shared" ca="1" si="297"/>
        <v>RD Congo</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4</v>
      </c>
      <c r="AT113" s="48">
        <f t="shared" ca="1" si="316"/>
        <v>-3</v>
      </c>
      <c r="AU113" s="330">
        <f t="shared" ca="1" si="299"/>
        <v>1</v>
      </c>
      <c r="AV113" s="182" t="str">
        <f t="shared" ca="1" si="300"/>
        <v>RD Congo</v>
      </c>
      <c r="AW113" s="215"/>
      <c r="AX113" s="170"/>
      <c r="AY113" s="154"/>
      <c r="AZ113" s="155"/>
      <c r="BA113" s="176"/>
    </row>
    <row r="114" spans="1:59" ht="16" customHeight="1" x14ac:dyDescent="0.2">
      <c r="A114" s="16" t="s">
        <v>687</v>
      </c>
      <c r="B114" s="16" t="s">
        <v>682</v>
      </c>
      <c r="C114" s="16"/>
      <c r="D114" s="16" t="str">
        <f t="shared" ca="1" si="289"/>
        <v>Estados Unidos</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Estados Unidos</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1</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x14ac:dyDescent="0.2">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3H</v>
      </c>
    </row>
    <row r="122" spans="1:59" ht="16" customHeight="1" x14ac:dyDescent="0.2">
      <c r="A122" s="16" t="s">
        <v>745</v>
      </c>
      <c r="B122" s="16" t="s">
        <v>746</v>
      </c>
      <c r="C122" s="16"/>
      <c r="D122" s="16" t="str">
        <f t="shared" ca="1" si="317"/>
        <v>Noruega</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0</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x14ac:dyDescent="0.2">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0</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0</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3E</v>
      </c>
    </row>
    <row r="125" spans="1:59" ht="16" customHeight="1" x14ac:dyDescent="0.2">
      <c r="A125" s="16" t="s">
        <v>751</v>
      </c>
      <c r="B125" s="16" t="s">
        <v>752</v>
      </c>
      <c r="C125" s="16"/>
      <c r="D125" s="16" t="str">
        <f t="shared" ca="1" si="317"/>
        <v>Turquía</v>
      </c>
      <c r="E125" s="16">
        <v>81</v>
      </c>
      <c r="F125" s="16">
        <v>82</v>
      </c>
      <c r="G125" s="16"/>
      <c r="H125" s="16"/>
      <c r="I125" s="16"/>
      <c r="J125" s="16">
        <v>94</v>
      </c>
      <c r="K125" s="16">
        <v>46209.875</v>
      </c>
      <c r="L125" s="16" t="s">
        <v>717</v>
      </c>
      <c r="M125" s="16" t="str">
        <f t="shared" ca="1" si="318"/>
        <v>Turquía</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Estados Unidos</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Bosnia y Herzegovina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Bosnia y Herzegovina</v>
      </c>
      <c r="AB127" s="94">
        <v>3</v>
      </c>
      <c r="AC127" s="100">
        <v>1</v>
      </c>
      <c r="AD127" s="100">
        <v>1</v>
      </c>
      <c r="AE127" s="94">
        <v>4</v>
      </c>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Turquía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Turquía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Noruega</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Noruega</v>
      </c>
      <c r="AB133" s="89"/>
      <c r="AC133" s="99">
        <v>0</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v>3</v>
      </c>
      <c r="AC134" s="100">
        <v>1</v>
      </c>
      <c r="AD134" s="100">
        <v>1</v>
      </c>
      <c r="AE134" s="94">
        <v>5</v>
      </c>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v>3</v>
      </c>
      <c r="AC138" s="101">
        <v>1</v>
      </c>
      <c r="AD138" s="101">
        <v>1</v>
      </c>
      <c r="AE138" s="89">
        <v>4</v>
      </c>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v>2</v>
      </c>
      <c r="AC139" s="100">
        <v>1</v>
      </c>
      <c r="AD139" s="100">
        <v>1</v>
      </c>
      <c r="AE139" s="140">
        <v>4</v>
      </c>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0</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1516</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x14ac:dyDescent="0.3">
      <c r="A2" s="290"/>
      <c r="B2" s="291"/>
      <c r="C2" s="291"/>
      <c r="D2" s="368"/>
      <c r="E2" s="701"/>
      <c r="F2" s="701"/>
      <c r="G2" s="701"/>
      <c r="H2" s="701"/>
      <c r="I2" s="701"/>
      <c r="J2" s="701"/>
      <c r="K2" s="701"/>
      <c r="L2" s="701"/>
      <c r="M2" s="701"/>
      <c r="N2" s="701"/>
    </row>
    <row r="3" spans="1:14" ht="35" customHeight="1" thickBot="1" x14ac:dyDescent="0.3">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x14ac:dyDescent="0.25">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x14ac:dyDescent="0.2">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1|1-0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2|1-2</v>
      </c>
      <c r="D8" s="697"/>
      <c r="E8" s="686"/>
      <c r="F8" s="686"/>
      <c r="G8" s="686"/>
      <c r="H8" s="686"/>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7"/>
      <c r="E9" s="686"/>
      <c r="F9" s="686"/>
      <c r="G9" s="686"/>
      <c r="H9" s="686"/>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7"/>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2|0-2</v>
      </c>
      <c r="D13" s="697"/>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2|0-2</v>
      </c>
      <c r="D15" s="697"/>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1|1-0</v>
      </c>
      <c r="D17" s="697"/>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7"/>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7"/>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1|2-0</v>
      </c>
      <c r="D22" s="697"/>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2|0-1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1|2-1</v>
      </c>
      <c r="D31" s="699"/>
      <c r="E31" s="686"/>
      <c r="F31" s="686"/>
      <c r="G31" s="686"/>
      <c r="H31" s="686"/>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2|1-2</v>
      </c>
      <c r="D32" s="699"/>
      <c r="E32" s="686"/>
      <c r="F32" s="686"/>
      <c r="G32" s="686"/>
      <c r="H32" s="686"/>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1|1-0</v>
      </c>
      <c r="D33" s="699"/>
      <c r="E33" s="686"/>
      <c r="F33" s="686"/>
      <c r="G33" s="686"/>
      <c r="H33" s="686"/>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1|1-0</v>
      </c>
      <c r="D36" s="699"/>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9"/>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X|0-0</v>
      </c>
      <c r="D41" s="699"/>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2|0-1</v>
      </c>
      <c r="D49" s="699"/>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1|1-0</v>
      </c>
      <c r="D52" s="699"/>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693"/>
      <c r="E55" s="686"/>
      <c r="F55" s="686"/>
      <c r="G55" s="686"/>
      <c r="H55" s="686"/>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2|0-1</v>
      </c>
      <c r="D56" s="693"/>
      <c r="E56" s="686"/>
      <c r="F56" s="686"/>
      <c r="G56" s="686"/>
      <c r="H56" s="686"/>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1|2-0</v>
      </c>
      <c r="D57" s="693"/>
      <c r="E57" s="686"/>
      <c r="F57" s="686"/>
      <c r="G57" s="686"/>
      <c r="H57" s="686"/>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693"/>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93"/>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1|2-1</v>
      </c>
      <c r="D60" s="693"/>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693"/>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2|0-1</v>
      </c>
      <c r="D62" s="693"/>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1|1-0</v>
      </c>
      <c r="D64" s="693"/>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X|0-0</v>
      </c>
      <c r="D66" s="693"/>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2|0-1</v>
      </c>
      <c r="D67" s="693"/>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93"/>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X|1-1</v>
      </c>
      <c r="D70" s="693"/>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X|0-0</v>
      </c>
      <c r="D71" s="693"/>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693"/>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X|1-1</v>
      </c>
      <c r="D75" s="693"/>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1|1-0</v>
      </c>
      <c r="D77" s="693"/>
      <c r="E77" s="370"/>
      <c r="F77" s="370"/>
      <c r="G77" s="370"/>
      <c r="H77" s="370"/>
      <c r="I77" s="381"/>
      <c r="J77" s="370"/>
      <c r="K77" s="370"/>
      <c r="L77" s="370"/>
      <c r="M77" s="379"/>
      <c r="N77" s="377"/>
    </row>
    <row r="78" spans="1:14" ht="15" customHeight="1" x14ac:dyDescent="0.2">
      <c r="A78" s="353"/>
      <c r="B78" s="353"/>
      <c r="C78" s="350"/>
      <c r="D78" s="693"/>
      <c r="E78" s="370"/>
      <c r="F78" s="370"/>
      <c r="G78" s="370"/>
      <c r="H78" s="370"/>
      <c r="I78" s="381"/>
      <c r="J78" s="370"/>
      <c r="K78" s="370"/>
      <c r="L78" s="370"/>
      <c r="M78" s="379"/>
      <c r="N78" s="377"/>
    </row>
    <row r="79" spans="1:14" ht="19" customHeight="1" x14ac:dyDescent="0.25">
      <c r="A79" s="353"/>
      <c r="B79" s="358" t="str">
        <f>Idiomas!D126</f>
        <v>POSICIÓN GRUPOS</v>
      </c>
      <c r="C79" s="350"/>
      <c r="D79" s="693"/>
      <c r="E79" s="370"/>
      <c r="F79" s="370"/>
      <c r="G79" s="370"/>
      <c r="H79" s="370"/>
      <c r="I79" s="381"/>
      <c r="J79" s="370"/>
      <c r="K79" s="370"/>
      <c r="L79" s="370"/>
      <c r="M79" s="379"/>
      <c r="N79" s="377"/>
    </row>
    <row r="80" spans="1:14" ht="15" customHeight="1" x14ac:dyDescent="0.2">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x14ac:dyDescent="0.2">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x14ac:dyDescent="0.2">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x14ac:dyDescent="0.2">
      <c r="A83" s="696"/>
      <c r="B83" s="359" t="str">
        <f>Idiomas!D143</f>
        <v>4º GRUPO A</v>
      </c>
      <c r="C83" s="349" t="str">
        <f ca="1">IF(OR(SUM(WORLDCUP!$AN$6:$AN$9)=12,WORLDCUP!$AJ$99=144),WORLDCUP!AL9,B83)</f>
        <v>Corea del Sur</v>
      </c>
      <c r="D83" s="693"/>
      <c r="E83" s="370"/>
      <c r="F83" s="370"/>
      <c r="G83" s="370"/>
      <c r="H83" s="370"/>
      <c r="I83" s="381"/>
      <c r="J83" s="370"/>
      <c r="K83" s="370"/>
      <c r="L83" s="370"/>
      <c r="M83" s="379"/>
      <c r="N83" s="377"/>
    </row>
    <row r="84" spans="1:14" ht="15" customHeight="1" x14ac:dyDescent="0.2">
      <c r="A84" s="695" t="s">
        <v>1</v>
      </c>
      <c r="B84" s="357" t="str">
        <f>Idiomas!D144</f>
        <v>1º GRUPO B</v>
      </c>
      <c r="C84" s="349" t="str">
        <f ca="1">IF(OR(SUM(WORLDCUP!$AN$14:$AN$17)=12,WORLDCUP!$AJ$99=144),WORLDCUP!AL14,B84)</f>
        <v>Bosnia y Herzegovina</v>
      </c>
      <c r="D84" s="693"/>
      <c r="E84" s="370"/>
      <c r="F84" s="370"/>
      <c r="G84" s="370"/>
      <c r="H84" s="370"/>
      <c r="I84" s="381"/>
      <c r="J84" s="370"/>
      <c r="K84" s="370"/>
      <c r="L84" s="370"/>
      <c r="M84" s="379"/>
      <c r="N84" s="377"/>
    </row>
    <row r="85" spans="1:14" ht="15" customHeight="1" x14ac:dyDescent="0.2">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x14ac:dyDescent="0.2">
      <c r="A86" s="695"/>
      <c r="B86" s="357" t="str">
        <f>Idiomas!D146</f>
        <v>3º GRUPO B</v>
      </c>
      <c r="C86" s="349" t="str">
        <f ca="1">IF(OR(SUM(WORLDCUP!$AN$14:$AN$17)=12,WORLDCUP!$AJ$99=144),WORLDCUP!AL16,B86)</f>
        <v>Suiza</v>
      </c>
      <c r="D86" s="693"/>
      <c r="E86" s="370"/>
      <c r="F86" s="370"/>
      <c r="G86" s="370"/>
      <c r="H86" s="370"/>
      <c r="I86" s="381"/>
      <c r="J86" s="370"/>
      <c r="K86" s="370"/>
      <c r="L86" s="370"/>
      <c r="M86" s="379"/>
      <c r="N86" s="377"/>
    </row>
    <row r="87" spans="1:14" ht="15" customHeight="1" x14ac:dyDescent="0.2">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x14ac:dyDescent="0.2">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x14ac:dyDescent="0.2">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x14ac:dyDescent="0.2">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x14ac:dyDescent="0.2">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x14ac:dyDescent="0.2">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x14ac:dyDescent="0.2">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x14ac:dyDescent="0.2">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x14ac:dyDescent="0.2">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x14ac:dyDescent="0.2">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x14ac:dyDescent="0.2">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x14ac:dyDescent="0.2">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x14ac:dyDescent="0.2">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x14ac:dyDescent="0.2">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x14ac:dyDescent="0.2">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x14ac:dyDescent="0.2">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x14ac:dyDescent="0.2">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x14ac:dyDescent="0.2">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x14ac:dyDescent="0.2">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x14ac:dyDescent="0.2">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x14ac:dyDescent="0.2">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x14ac:dyDescent="0.2">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x14ac:dyDescent="0.2">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x14ac:dyDescent="0.2">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x14ac:dyDescent="0.2">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x14ac:dyDescent="0.2">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x14ac:dyDescent="0.2">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x14ac:dyDescent="0.2">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x14ac:dyDescent="0.2">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x14ac:dyDescent="0.2">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x14ac:dyDescent="0.2">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x14ac:dyDescent="0.2">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x14ac:dyDescent="0.2">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x14ac:dyDescent="0.2">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x14ac:dyDescent="0.2">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x14ac:dyDescent="0.2">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x14ac:dyDescent="0.2">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x14ac:dyDescent="0.2">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x14ac:dyDescent="0.2">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x14ac:dyDescent="0.2">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x14ac:dyDescent="0.2">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x14ac:dyDescent="0.2">
      <c r="A128" s="353"/>
      <c r="B128" s="353"/>
      <c r="C128" s="350"/>
      <c r="D128" s="693"/>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693"/>
      <c r="E129" s="370"/>
      <c r="F129" s="370"/>
      <c r="G129" s="370"/>
      <c r="H129" s="370"/>
      <c r="I129" s="381"/>
      <c r="J129" s="370"/>
      <c r="K129" s="370"/>
      <c r="L129" s="370"/>
      <c r="M129" s="379"/>
      <c r="N129" s="377"/>
    </row>
    <row r="130" spans="1:14" ht="15" customHeight="1" x14ac:dyDescent="0.2">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x14ac:dyDescent="0.2">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x14ac:dyDescent="0.2">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x14ac:dyDescent="0.2">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x14ac:dyDescent="0.2">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x14ac:dyDescent="0.2">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x14ac:dyDescent="0.2">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x14ac:dyDescent="0.2">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x14ac:dyDescent="0.2">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x14ac:dyDescent="0.2">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x14ac:dyDescent="0.2">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x14ac:dyDescent="0.2">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x14ac:dyDescent="0.2">
      <c r="A142" s="690"/>
      <c r="B142" s="360" t="str">
        <f t="shared" si="0"/>
        <v>Dieciseisavofinalista</v>
      </c>
      <c r="C142" s="349" t="str">
        <f ca="1">WORLDCUP!AA113</f>
        <v>Bosnia y Herzegovina</v>
      </c>
      <c r="D142" s="693"/>
      <c r="E142" s="370"/>
      <c r="F142" s="370"/>
      <c r="G142" s="370"/>
      <c r="H142" s="370"/>
      <c r="I142" s="381"/>
      <c r="J142" s="370"/>
      <c r="K142" s="370"/>
      <c r="L142" s="370"/>
      <c r="M142" s="379"/>
      <c r="N142" s="377"/>
    </row>
    <row r="143" spans="1:14" ht="15" customHeight="1" x14ac:dyDescent="0.2">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x14ac:dyDescent="0.2">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x14ac:dyDescent="0.2">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x14ac:dyDescent="0.2">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x14ac:dyDescent="0.2">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x14ac:dyDescent="0.2">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x14ac:dyDescent="0.2">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x14ac:dyDescent="0.2">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x14ac:dyDescent="0.2">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x14ac:dyDescent="0.2">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x14ac:dyDescent="0.2">
      <c r="A153" s="690"/>
      <c r="B153" s="360" t="str">
        <f t="shared" si="1"/>
        <v>Dieciseisavofinalista</v>
      </c>
      <c r="C153" s="349" t="str">
        <f ca="1">WORLDCUP!AF108</f>
        <v>Costa de Marfil</v>
      </c>
      <c r="D153" s="693"/>
      <c r="E153" s="370"/>
      <c r="F153" s="370"/>
      <c r="G153" s="370"/>
      <c r="H153" s="370"/>
      <c r="I153" s="381"/>
      <c r="J153" s="370"/>
      <c r="K153" s="370"/>
      <c r="L153" s="370"/>
      <c r="M153" s="379"/>
      <c r="N153" s="377"/>
    </row>
    <row r="154" spans="1:14" ht="15" customHeight="1" x14ac:dyDescent="0.2">
      <c r="A154" s="690"/>
      <c r="B154" s="360" t="str">
        <f t="shared" si="1"/>
        <v>Dieciseisavofinalista</v>
      </c>
      <c r="C154" s="349" t="str">
        <f ca="1">WORLDCUP!AF109</f>
        <v>Arabia Saudita</v>
      </c>
      <c r="D154" s="693"/>
      <c r="E154" s="370"/>
      <c r="F154" s="370"/>
      <c r="G154" s="370"/>
      <c r="H154" s="370"/>
      <c r="I154" s="381"/>
      <c r="J154" s="370"/>
      <c r="K154" s="370"/>
      <c r="L154" s="370"/>
      <c r="M154" s="379"/>
      <c r="N154" s="377"/>
    </row>
    <row r="155" spans="1:14" ht="15" customHeight="1" x14ac:dyDescent="0.2">
      <c r="A155" s="690"/>
      <c r="B155" s="360" t="str">
        <f t="shared" si="1"/>
        <v>Dieciseisavofinalista</v>
      </c>
      <c r="C155" s="349" t="str">
        <f ca="1">WORLDCUP!AF110</f>
        <v>Suiza</v>
      </c>
      <c r="D155" s="693"/>
      <c r="E155" s="370"/>
      <c r="F155" s="370"/>
      <c r="G155" s="370"/>
      <c r="H155" s="370"/>
      <c r="I155" s="381"/>
      <c r="J155" s="370"/>
      <c r="K155" s="370"/>
      <c r="L155" s="370"/>
      <c r="M155" s="379"/>
      <c r="N155" s="377"/>
    </row>
    <row r="156" spans="1:14" ht="15" customHeight="1" x14ac:dyDescent="0.2">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x14ac:dyDescent="0.2">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x14ac:dyDescent="0.2">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x14ac:dyDescent="0.2">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x14ac:dyDescent="0.2">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x14ac:dyDescent="0.2">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 customHeight="1" x14ac:dyDescent="0.2">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x14ac:dyDescent="0.25">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x14ac:dyDescent="0.2">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x14ac:dyDescent="0.2">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692"/>
      <c r="E165" s="711"/>
      <c r="F165" s="711"/>
      <c r="G165" s="711"/>
      <c r="H165" s="711"/>
      <c r="I165" s="352"/>
      <c r="J165" s="370"/>
      <c r="K165" s="370"/>
      <c r="L165" s="370"/>
      <c r="M165" s="386"/>
      <c r="N165" s="377"/>
    </row>
    <row r="166" spans="1:14" ht="15" customHeight="1" x14ac:dyDescent="0.2">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692"/>
      <c r="E166" s="711"/>
      <c r="F166" s="711"/>
      <c r="G166" s="711"/>
      <c r="H166" s="711"/>
      <c r="I166" s="352"/>
      <c r="J166" s="370"/>
      <c r="K166" s="370"/>
      <c r="L166" s="370"/>
      <c r="M166" s="386"/>
      <c r="N166" s="377"/>
    </row>
    <row r="167" spans="1:14" ht="15" customHeight="1" x14ac:dyDescent="0.2">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Bajos-Marruecos·1|1-0</v>
      </c>
      <c r="D167" s="692"/>
      <c r="E167" s="711"/>
      <c r="F167" s="711"/>
      <c r="G167" s="711"/>
      <c r="H167" s="711"/>
      <c r="I167" s="352"/>
      <c r="J167" s="370"/>
      <c r="K167" s="370"/>
      <c r="L167" s="370"/>
      <c r="M167" s="386"/>
      <c r="N167" s="377"/>
    </row>
    <row r="168" spans="1:14" ht="15" customHeight="1" x14ac:dyDescent="0.2">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Ecuador-Noruega·2|0-1</v>
      </c>
      <c r="D168" s="692"/>
      <c r="E168" s="370"/>
      <c r="F168" s="370"/>
      <c r="G168" s="370"/>
      <c r="H168" s="370"/>
      <c r="I168" s="352"/>
      <c r="J168" s="370"/>
      <c r="K168" s="370"/>
      <c r="L168" s="370"/>
      <c r="M168" s="386"/>
      <c r="N168" s="377"/>
    </row>
    <row r="169" spans="1:14" ht="15" customHeight="1" x14ac:dyDescent="0.2">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Francia-Suecia·1|2-0</v>
      </c>
      <c r="D169" s="692"/>
      <c r="E169" s="370"/>
      <c r="F169" s="370"/>
      <c r="G169" s="370"/>
      <c r="H169" s="370"/>
      <c r="I169" s="352"/>
      <c r="J169" s="370"/>
      <c r="K169" s="370"/>
      <c r="L169" s="370"/>
      <c r="M169" s="386"/>
      <c r="N169" s="377"/>
    </row>
    <row r="170" spans="1:14" ht="15" customHeight="1" x14ac:dyDescent="0.2">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México-Escocia·1|1-0</v>
      </c>
      <c r="D170" s="692"/>
      <c r="E170" s="370"/>
      <c r="F170" s="370"/>
      <c r="G170" s="370"/>
      <c r="H170" s="370"/>
      <c r="I170" s="352"/>
      <c r="J170" s="370"/>
      <c r="K170" s="370"/>
      <c r="L170" s="370"/>
      <c r="M170" s="386"/>
      <c r="N170" s="377"/>
    </row>
    <row r="171" spans="1:14" ht="15" customHeight="1" x14ac:dyDescent="0.2">
      <c r="A171" s="690"/>
      <c r="B171" s="360" t="str">
        <f ca="1">CONCATENATE(WORLDCUP!AA108,"-",WORLDCUP!AF108)</f>
        <v>Inglaterra-Costa de Marfil</v>
      </c>
      <c r="C171" s="349" t="str">
        <f ca="1">CONCATENATE(WORLDCUP!AA108,"-",WORLDCUP!AF108,"·",IF(WORLDCUP!AC108&gt;WORLDCUP!AD108,1,IF(WORLDCUP!AC108&lt;WORLDCUP!AD108,2,IF(AND(WORLDCUP!AC108=WORLDCUP!AD108,WORLDCUP!AC108&lt;&gt;"",WORLDCUP!AD108&lt;&gt;""),"X",0))),"|",WORLDCUP!AC108,"-",WORLDCUP!AD108)</f>
        <v>Inglaterra-Costa de Marfil·1|2-1</v>
      </c>
      <c r="D171" s="692"/>
      <c r="E171" s="370"/>
      <c r="F171" s="370"/>
      <c r="G171" s="370"/>
      <c r="H171" s="370"/>
      <c r="I171" s="352"/>
      <c r="J171" s="370"/>
      <c r="K171" s="370"/>
      <c r="L171" s="370"/>
      <c r="M171" s="386"/>
      <c r="N171" s="377"/>
    </row>
    <row r="172" spans="1:14" ht="15" customHeight="1" x14ac:dyDescent="0.2">
      <c r="A172" s="690"/>
      <c r="B172" s="360" t="str">
        <f ca="1">CONCATENATE(WORLDCUP!AA109,"-",WORLDCUP!AF109)</f>
        <v>Bélgica-Arabia Saudita</v>
      </c>
      <c r="C172" s="349" t="str">
        <f ca="1">CONCATENATE(WORLDCUP!AA109,"-",WORLDCUP!AF109,"·",IF(WORLDCUP!AC109&gt;WORLDCUP!AD109,1,IF(WORLDCUP!AC109&lt;WORLDCUP!AD109,2,IF(AND(WORLDCUP!AC109=WORLDCUP!AD109,WORLDCUP!AC109&lt;&gt;"",WORLDCUP!AD109&lt;&gt;""),"X",0))),"|",WORLDCUP!AC109,"-",WORLDCUP!AD109)</f>
        <v>Bélgica-Arabia Saudita·1|2-0</v>
      </c>
      <c r="D172" s="692"/>
      <c r="E172" s="370"/>
      <c r="F172" s="370"/>
      <c r="G172" s="370"/>
      <c r="H172" s="370"/>
      <c r="I172" s="352"/>
      <c r="J172" s="370"/>
      <c r="K172" s="370"/>
      <c r="L172" s="370"/>
      <c r="M172" s="386"/>
      <c r="N172" s="377"/>
    </row>
    <row r="173" spans="1:14" ht="15" customHeight="1" x14ac:dyDescent="0.2">
      <c r="A173" s="690"/>
      <c r="B173" s="360" t="str">
        <f ca="1">CONCATENATE(WORLDCUP!AA110,"-",WORLDCUP!AF110)</f>
        <v>Turquía-Suiza</v>
      </c>
      <c r="C173" s="349" t="str">
        <f ca="1">CONCATENATE(WORLDCUP!AA110,"-",WORLDCUP!AF110,"·",IF(WORLDCUP!AC110&gt;WORLDCUP!AD110,1,IF(WORLDCUP!AC110&lt;WORLDCUP!AD110,2,IF(AND(WORLDCUP!AC110=WORLDCUP!AD110,WORLDCUP!AC110&lt;&gt;"",WORLDCUP!AD110&lt;&gt;""),"X",0))),"|",WORLDCUP!AC110,"-",WORLDCUP!AD110)</f>
        <v>Turquía-Suiza·1|1-0</v>
      </c>
      <c r="D173" s="692"/>
      <c r="E173" s="370"/>
      <c r="F173" s="370"/>
      <c r="G173" s="370"/>
      <c r="H173" s="370"/>
      <c r="I173" s="352"/>
      <c r="J173" s="370"/>
      <c r="K173" s="370"/>
      <c r="L173" s="370"/>
      <c r="M173" s="386"/>
      <c r="N173" s="377"/>
    </row>
    <row r="174" spans="1:14" ht="15" customHeight="1" x14ac:dyDescent="0.2">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España-Austria·1|2-1</v>
      </c>
      <c r="D174" s="692"/>
      <c r="E174" s="370"/>
      <c r="F174" s="370"/>
      <c r="G174" s="370"/>
      <c r="H174" s="370"/>
      <c r="I174" s="352"/>
      <c r="J174" s="370"/>
      <c r="K174" s="370"/>
      <c r="L174" s="370"/>
      <c r="M174" s="386"/>
      <c r="N174" s="377"/>
    </row>
    <row r="175" spans="1:14" ht="15" customHeight="1" x14ac:dyDescent="0.2">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Colombia-Croacia·1|2-1</v>
      </c>
      <c r="D175" s="692"/>
      <c r="E175" s="370"/>
      <c r="F175" s="370"/>
      <c r="G175" s="370"/>
      <c r="H175" s="370"/>
      <c r="I175" s="352"/>
      <c r="J175" s="370"/>
      <c r="K175" s="370"/>
      <c r="L175" s="370"/>
      <c r="M175" s="386"/>
      <c r="N175" s="377"/>
    </row>
    <row r="176" spans="1:14" ht="15" customHeight="1" x14ac:dyDescent="0.2">
      <c r="A176" s="690"/>
      <c r="B176" s="360" t="str">
        <f ca="1">CONCATENATE(WORLDCUP!AA113,"-",WORLDCUP!AF113)</f>
        <v>Bosnia y Herzegovina-Argelia</v>
      </c>
      <c r="C176" s="349" t="str">
        <f ca="1">CONCATENATE(WORLDCUP!AA113,"-",WORLDCUP!AF113,"·",IF(WORLDCUP!AC113&gt;WORLDCUP!AD113,1,IF(WORLDCUP!AC113&lt;WORLDCUP!AD113,2,IF(AND(WORLDCUP!AC113=WORLDCUP!AD113,WORLDCUP!AC113&lt;&gt;"",WORLDCUP!AD113&lt;&gt;""),"X",0))),"|",WORLDCUP!AC113,"-",WORLDCUP!AD113)</f>
        <v>Bosnia y Herzegovina-Argelia·1|2-0</v>
      </c>
      <c r="D176" s="692"/>
      <c r="E176" s="370"/>
      <c r="F176" s="370"/>
      <c r="G176" s="370"/>
      <c r="H176" s="370"/>
      <c r="I176" s="352"/>
      <c r="J176" s="370"/>
      <c r="K176" s="370"/>
      <c r="L176" s="370"/>
      <c r="M176" s="386"/>
      <c r="N176" s="377"/>
    </row>
    <row r="177" spans="1:14" ht="15" customHeight="1" x14ac:dyDescent="0.2">
      <c r="A177" s="690"/>
      <c r="B177" s="360" t="str">
        <f ca="1">CONCATENATE(WORLDCUP!AA114,"-",WORLDCUP!AF114)</f>
        <v>Estados Unidos-Egipto</v>
      </c>
      <c r="C177" s="349" t="str">
        <f ca="1">CONCATENATE(WORLDCUP!AA114,"-",WORLDCUP!AF114,"·",IF(WORLDCUP!AC114&gt;WORLDCUP!AD114,1,IF(WORLDCUP!AC114&lt;WORLDCUP!AD114,2,IF(AND(WORLDCUP!AC114=WORLDCUP!AD114,WORLDCUP!AC114&lt;&gt;"",WORLDCUP!AD114&lt;&gt;""),"X",0))),"|",WORLDCUP!AC114,"-",WORLDCUP!AD114)</f>
        <v>Estados Unidos-Egipto·1|1-0</v>
      </c>
      <c r="D177" s="692"/>
      <c r="E177" s="370"/>
      <c r="F177" s="370"/>
      <c r="G177" s="370"/>
      <c r="H177" s="370"/>
      <c r="I177" s="352"/>
      <c r="J177" s="370"/>
      <c r="K177" s="370"/>
      <c r="L177" s="370"/>
      <c r="M177" s="386"/>
      <c r="N177" s="377"/>
    </row>
    <row r="178" spans="1:14" ht="15" customHeight="1" x14ac:dyDescent="0.2">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x14ac:dyDescent="0.2">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Portugal-Ghana·1|2-0</v>
      </c>
      <c r="D179" s="692"/>
      <c r="E179" s="370"/>
      <c r="F179" s="370"/>
      <c r="G179" s="370"/>
      <c r="H179" s="370"/>
      <c r="I179" s="352"/>
      <c r="J179" s="370"/>
      <c r="K179" s="370"/>
      <c r="L179" s="370"/>
      <c r="M179" s="386"/>
      <c r="N179" s="377"/>
    </row>
    <row r="180" spans="1:14" ht="15" customHeight="1" x14ac:dyDescent="0.2">
      <c r="A180" s="353"/>
      <c r="B180" s="353"/>
      <c r="C180" s="350"/>
      <c r="D180" s="692"/>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692"/>
      <c r="E181" s="370"/>
      <c r="F181" s="370"/>
      <c r="G181" s="370"/>
      <c r="H181" s="370"/>
      <c r="I181" s="352"/>
      <c r="J181" s="370"/>
      <c r="K181" s="370"/>
      <c r="L181" s="370"/>
      <c r="M181" s="386"/>
      <c r="N181" s="377"/>
    </row>
    <row r="182" spans="1:14" ht="15" customHeight="1" x14ac:dyDescent="0.2">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x14ac:dyDescent="0.2">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x14ac:dyDescent="0.2">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x14ac:dyDescent="0.2">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x14ac:dyDescent="0.2">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x14ac:dyDescent="0.2">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x14ac:dyDescent="0.2">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x14ac:dyDescent="0.2">
      <c r="A189" s="690"/>
      <c r="B189" s="360" t="str">
        <f t="shared" si="2"/>
        <v>Octavofinalista</v>
      </c>
      <c r="C189" s="349" t="str">
        <f ca="1">WORLDCUP!AA127</f>
        <v>Bosnia y Herzegovina</v>
      </c>
      <c r="D189" s="692"/>
      <c r="E189" s="370"/>
      <c r="F189" s="370"/>
      <c r="G189" s="370"/>
      <c r="H189" s="370"/>
      <c r="I189" s="352"/>
      <c r="J189" s="370"/>
      <c r="K189" s="370"/>
      <c r="L189" s="370"/>
      <c r="M189" s="386"/>
      <c r="N189" s="377"/>
    </row>
    <row r="190" spans="1:14" ht="15" customHeight="1" x14ac:dyDescent="0.2">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x14ac:dyDescent="0.2">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x14ac:dyDescent="0.2">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x14ac:dyDescent="0.2">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x14ac:dyDescent="0.2">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x14ac:dyDescent="0.2">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x14ac:dyDescent="0.2">
      <c r="A196" s="690"/>
      <c r="B196" s="360" t="str">
        <f t="shared" si="2"/>
        <v>Octavofinalista</v>
      </c>
      <c r="C196" s="349" t="str">
        <f ca="1">WORLDCUP!AF126</f>
        <v>Estados Unidos</v>
      </c>
      <c r="D196" s="692"/>
      <c r="E196" s="370"/>
      <c r="F196" s="370"/>
      <c r="G196" s="370"/>
      <c r="H196" s="370"/>
      <c r="I196" s="352"/>
      <c r="J196" s="370"/>
      <c r="K196" s="370"/>
      <c r="L196" s="370"/>
      <c r="M196" s="386"/>
      <c r="N196" s="377"/>
    </row>
    <row r="197" spans="1:14" ht="15" customHeight="1" x14ac:dyDescent="0.2">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x14ac:dyDescent="0.2">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91"/>
      <c r="E201" s="686"/>
      <c r="F201" s="686"/>
      <c r="G201" s="686"/>
      <c r="H201" s="686"/>
      <c r="I201" s="352"/>
      <c r="J201" s="370"/>
      <c r="K201" s="370"/>
      <c r="L201" s="370"/>
      <c r="M201" s="386"/>
      <c r="N201" s="377"/>
    </row>
    <row r="202" spans="1:14" ht="15" customHeight="1" x14ac:dyDescent="0.2">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Brasil-Noruega·2|0-1</v>
      </c>
      <c r="D202" s="691"/>
      <c r="E202" s="686"/>
      <c r="F202" s="686"/>
      <c r="G202" s="686"/>
      <c r="H202" s="686"/>
      <c r="I202" s="352"/>
      <c r="J202" s="370"/>
      <c r="K202" s="370"/>
      <c r="L202" s="370"/>
      <c r="M202" s="386"/>
      <c r="N202" s="377"/>
    </row>
    <row r="203" spans="1:14" ht="15" customHeight="1" x14ac:dyDescent="0.2">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México-Inglaterra·2|0-2</v>
      </c>
      <c r="D203" s="691"/>
      <c r="E203" s="686"/>
      <c r="F203" s="686"/>
      <c r="G203" s="686"/>
      <c r="H203" s="686"/>
      <c r="I203" s="352"/>
      <c r="J203" s="370"/>
      <c r="K203" s="370"/>
      <c r="L203" s="370"/>
      <c r="M203" s="386"/>
      <c r="N203" s="377"/>
    </row>
    <row r="204" spans="1:14" ht="15" customHeight="1" x14ac:dyDescent="0.2">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Colombia-España·2|0-2</v>
      </c>
      <c r="D204" s="691"/>
      <c r="E204" s="352"/>
      <c r="F204" s="352"/>
      <c r="G204" s="352"/>
      <c r="H204" s="352"/>
      <c r="I204" s="352"/>
      <c r="J204" s="370"/>
      <c r="K204" s="370"/>
      <c r="L204" s="370"/>
      <c r="M204" s="386"/>
      <c r="N204" s="377"/>
    </row>
    <row r="205" spans="1:14" ht="15" customHeight="1" x14ac:dyDescent="0.2">
      <c r="A205" s="690"/>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Turquía-Bélgica·1|2-1</v>
      </c>
      <c r="D205" s="691"/>
      <c r="E205" s="352"/>
      <c r="F205" s="352"/>
      <c r="G205" s="352"/>
      <c r="H205" s="352"/>
      <c r="I205" s="352"/>
      <c r="J205" s="370"/>
      <c r="K205" s="370"/>
      <c r="L205" s="370"/>
      <c r="M205" s="386"/>
      <c r="N205" s="377"/>
    </row>
    <row r="206" spans="1:14" ht="15" customHeight="1" x14ac:dyDescent="0.2">
      <c r="A206" s="690"/>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Unidos·1|1-0</v>
      </c>
      <c r="D206" s="691"/>
      <c r="E206" s="352"/>
      <c r="F206" s="352"/>
      <c r="G206" s="352"/>
      <c r="H206" s="352"/>
      <c r="I206" s="352"/>
      <c r="J206" s="370"/>
      <c r="K206" s="370"/>
      <c r="L206" s="370"/>
      <c r="M206" s="386"/>
      <c r="N206" s="377"/>
    </row>
    <row r="207" spans="1:14" ht="15" customHeight="1" x14ac:dyDescent="0.2">
      <c r="A207" s="690"/>
      <c r="B207" s="361" t="str">
        <f ca="1">CONCATENATE(WORLDCUP!AA127,"-",WORLDCUP!AF127)</f>
        <v>Bosnia y Herzegovina-Portugal</v>
      </c>
      <c r="C207" s="351" t="str">
        <f ca="1">CONCATENATE(WORLDCUP!AA127,"-",WORLDCUP!AF127,"·",IF(WORLDCUP!AC127&gt;WORLDCUP!AD127,1,IF(WORLDCUP!AC127&lt;WORLDCUP!AD127,2,IF(AND(WORLDCUP!AC127=WORLDCUP!AD127,WORLDCUP!AC127&lt;&gt;"",WORLDCUP!AD127&lt;&gt;""),"X",0))),"|",WORLDCUP!AC127,"-",WORLDCUP!AD127)</f>
        <v>Bosnia y Herzegovina-Portugal·X|1-1</v>
      </c>
      <c r="D207" s="691"/>
      <c r="E207" s="352"/>
      <c r="F207" s="352"/>
      <c r="G207" s="352"/>
      <c r="H207" s="352"/>
      <c r="I207" s="352"/>
      <c r="J207" s="370"/>
      <c r="K207" s="370"/>
      <c r="L207" s="370"/>
      <c r="M207" s="386"/>
      <c r="N207" s="377"/>
    </row>
    <row r="208" spans="1:14" ht="15" customHeight="1" x14ac:dyDescent="0.2">
      <c r="A208" s="353"/>
      <c r="B208" s="353"/>
      <c r="C208" s="350"/>
      <c r="D208" s="691"/>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91"/>
      <c r="E209" s="370"/>
      <c r="F209" s="370"/>
      <c r="G209" s="370"/>
      <c r="H209" s="370"/>
      <c r="I209" s="352"/>
      <c r="J209" s="370"/>
      <c r="K209" s="370"/>
      <c r="L209" s="370"/>
      <c r="M209" s="386"/>
      <c r="N209" s="377"/>
    </row>
    <row r="210" spans="1:14" ht="15" customHeight="1" x14ac:dyDescent="0.2">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x14ac:dyDescent="0.2">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x14ac:dyDescent="0.2">
      <c r="A212" s="690"/>
      <c r="B212" s="360" t="str">
        <f t="shared" ref="B212:B217" si="3">B211</f>
        <v>Cuartofinalista</v>
      </c>
      <c r="C212" s="349" t="str">
        <f ca="1">WORLDCUP!AA133</f>
        <v>Noruega</v>
      </c>
      <c r="D212" s="691"/>
      <c r="E212" s="370"/>
      <c r="F212" s="370"/>
      <c r="G212" s="370"/>
      <c r="H212" s="370"/>
      <c r="I212" s="352"/>
      <c r="J212" s="370"/>
      <c r="K212" s="370"/>
      <c r="L212" s="370"/>
      <c r="M212" s="386"/>
      <c r="N212" s="377"/>
    </row>
    <row r="213" spans="1:14" ht="15" customHeight="1" x14ac:dyDescent="0.2">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x14ac:dyDescent="0.2">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x14ac:dyDescent="0.2">
      <c r="A215" s="690"/>
      <c r="B215" s="360" t="str">
        <f t="shared" si="3"/>
        <v>Cuartofinalista</v>
      </c>
      <c r="C215" s="349" t="str">
        <f ca="1">WORLDCUP!AF132</f>
        <v>Turquía</v>
      </c>
      <c r="D215" s="691"/>
      <c r="E215" s="370"/>
      <c r="F215" s="370"/>
      <c r="G215" s="370"/>
      <c r="H215" s="370"/>
      <c r="I215" s="352"/>
      <c r="J215" s="370"/>
      <c r="K215" s="370"/>
      <c r="L215" s="370"/>
      <c r="M215" s="386"/>
      <c r="N215" s="377"/>
    </row>
    <row r="216" spans="1:14" ht="15" customHeight="1" x14ac:dyDescent="0.2">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x14ac:dyDescent="0.2">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x14ac:dyDescent="0.2">
      <c r="A221" s="690"/>
      <c r="B221" s="360" t="str">
        <f ca="1">CONCATENATE(WORLDCUP!AA132,"-",WORLDCUP!AF132)</f>
        <v>España-Turquía</v>
      </c>
      <c r="C221" s="349" t="str">
        <f ca="1">CONCATENATE(WORLDCUP!AA132,"-",WORLDCUP!AF132,"·",IF(WORLDCUP!AC132&gt;WORLDCUP!AD132,1,IF(WORLDCUP!AC132&lt;WORLDCUP!AD132,2,IF(AND(WORLDCUP!AC132=WORLDCUP!AD132,WORLDCUP!AC132&lt;&gt;"",WORLDCUP!AD132&lt;&gt;""),"X",0))),"|",WORLDCUP!AC132,"-",WORLDCUP!AD132)</f>
        <v>España-Turquía·1|1-0</v>
      </c>
      <c r="D221" s="692"/>
      <c r="E221" s="686"/>
      <c r="F221" s="686"/>
      <c r="G221" s="686"/>
      <c r="H221" s="686"/>
      <c r="I221" s="352"/>
      <c r="J221" s="370"/>
      <c r="K221" s="370"/>
      <c r="L221" s="370"/>
      <c r="M221" s="386"/>
      <c r="N221" s="377"/>
    </row>
    <row r="222" spans="1:14" ht="15" customHeight="1" x14ac:dyDescent="0.2">
      <c r="A222" s="690"/>
      <c r="B222" s="360" t="str">
        <f ca="1">CONCATENATE(WORLDCUP!AA133,"-",WORLDCUP!AF133)</f>
        <v>Noruega-Inglaterra</v>
      </c>
      <c r="C222" s="349" t="str">
        <f ca="1">CONCATENATE(WORLDCUP!AA133,"-",WORLDCUP!AF133,"·",IF(WORLDCUP!AC133&gt;WORLDCUP!AD133,1,IF(WORLDCUP!AC133&lt;WORLDCUP!AD133,2,IF(AND(WORLDCUP!AC133=WORLDCUP!AD133,WORLDCUP!AC133&lt;&gt;"",WORLDCUP!AD133&lt;&gt;""),"X",0))),"|",WORLDCUP!AC133,"-",WORLDCUP!AD133)</f>
        <v>Noruega-Inglaterra·2|0-1</v>
      </c>
      <c r="D222" s="692"/>
      <c r="E222" s="686"/>
      <c r="F222" s="686"/>
      <c r="G222" s="686"/>
      <c r="H222" s="686"/>
      <c r="I222" s="352"/>
      <c r="J222" s="370"/>
      <c r="K222" s="370"/>
      <c r="L222" s="370"/>
      <c r="M222" s="386"/>
      <c r="N222" s="377"/>
    </row>
    <row r="223" spans="1:14" ht="15" customHeight="1" x14ac:dyDescent="0.2">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Argentina-Portugal·X|1-1</v>
      </c>
      <c r="D223" s="692"/>
      <c r="E223" s="686"/>
      <c r="F223" s="686"/>
      <c r="G223" s="686"/>
      <c r="H223" s="686"/>
      <c r="I223" s="352"/>
      <c r="J223" s="370"/>
      <c r="K223" s="370"/>
      <c r="L223" s="370"/>
      <c r="M223" s="386"/>
      <c r="N223" s="377"/>
    </row>
    <row r="224" spans="1:14" x14ac:dyDescent="0.2">
      <c r="A224" s="353"/>
      <c r="B224" s="353"/>
      <c r="C224" s="350"/>
      <c r="D224" s="692"/>
      <c r="E224" s="352"/>
      <c r="F224" s="352"/>
      <c r="G224" s="352"/>
      <c r="H224" s="352"/>
      <c r="I224" s="352"/>
      <c r="J224" s="370"/>
      <c r="K224" s="370"/>
      <c r="L224" s="370"/>
      <c r="M224" s="386"/>
      <c r="N224" s="377"/>
    </row>
    <row r="225" spans="1:14" ht="19" x14ac:dyDescent="0.25">
      <c r="A225" s="353"/>
      <c r="B225" s="358" t="str">
        <f>Idiomas!D133</f>
        <v>CLASIFICADOS PARA SEMIFINALES</v>
      </c>
      <c r="C225" s="350"/>
      <c r="D225" s="692"/>
      <c r="E225" s="370"/>
      <c r="F225" s="370"/>
      <c r="G225" s="370"/>
      <c r="H225" s="370"/>
      <c r="I225" s="352"/>
      <c r="J225" s="370"/>
      <c r="K225" s="370"/>
      <c r="L225" s="370"/>
      <c r="M225" s="386"/>
      <c r="N225" s="377"/>
    </row>
    <row r="226" spans="1:14" ht="15" customHeight="1" x14ac:dyDescent="0.2">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x14ac:dyDescent="0.2">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x14ac:dyDescent="0.2">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x14ac:dyDescent="0.2">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Francia-España·X|1-1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x14ac:dyDescent="0.2">
      <c r="A233" s="688"/>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Inglaterra-Portugal·X|1-1</v>
      </c>
      <c r="D233" s="691"/>
      <c r="E233" s="686"/>
      <c r="F233" s="686"/>
      <c r="G233" s="686"/>
      <c r="H233" s="686"/>
      <c r="I233" s="352"/>
      <c r="J233" s="370"/>
      <c r="K233" s="370"/>
      <c r="L233" s="370"/>
      <c r="M233" s="386"/>
      <c r="N233" s="377"/>
    </row>
    <row r="234" spans="1:14" ht="15" customHeight="1" x14ac:dyDescent="0.2">
      <c r="A234" s="353"/>
      <c r="B234" s="353"/>
      <c r="C234" s="350"/>
      <c r="D234" s="691"/>
      <c r="E234" s="686"/>
      <c r="F234" s="686"/>
      <c r="G234" s="686"/>
      <c r="H234" s="686"/>
      <c r="I234" s="352"/>
      <c r="J234" s="370"/>
      <c r="K234" s="370"/>
      <c r="L234" s="370"/>
      <c r="M234" s="386"/>
      <c r="N234" s="377"/>
    </row>
    <row r="235" spans="1:14" ht="19" x14ac:dyDescent="0.2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x14ac:dyDescent="0.2">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x14ac:dyDescent="0.2">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x14ac:dyDescent="0.2">
      <c r="A238" s="353"/>
      <c r="B238" s="353"/>
      <c r="C238" s="350"/>
      <c r="D238" s="691"/>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91"/>
      <c r="E239" s="374"/>
      <c r="F239" s="374"/>
      <c r="G239" s="374"/>
      <c r="H239" s="374"/>
      <c r="I239" s="352"/>
      <c r="J239" s="370"/>
      <c r="K239" s="370"/>
      <c r="L239" s="370"/>
      <c r="M239" s="386"/>
      <c r="N239" s="377"/>
    </row>
    <row r="240" spans="1:14" ht="15" customHeight="1" x14ac:dyDescent="0.2">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x14ac:dyDescent="0.2">
      <c r="A241" s="688"/>
      <c r="B241" s="360" t="str">
        <f>B240</f>
        <v>Finalista</v>
      </c>
      <c r="C241" s="349" t="str">
        <f ca="1">WORLDCUP!AF147</f>
        <v>Portugal</v>
      </c>
      <c r="D241" s="691"/>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x14ac:dyDescent="0.2">
      <c r="A245" s="353"/>
      <c r="B245" s="353"/>
      <c r="C245" s="350"/>
      <c r="D245" s="689"/>
      <c r="E245" s="687"/>
      <c r="F245" s="687"/>
      <c r="G245" s="687"/>
      <c r="H245" s="687"/>
      <c r="I245" s="381"/>
      <c r="J245" s="370"/>
      <c r="K245" s="370"/>
      <c r="L245" s="370"/>
      <c r="M245" s="386"/>
      <c r="N245" s="377"/>
    </row>
    <row r="246" spans="1:14" ht="21" customHeight="1" x14ac:dyDescent="0.25">
      <c r="A246" s="353"/>
      <c r="B246" s="358" t="str">
        <f>Idiomas!D138</f>
        <v>ENFRENTAMIENTO FINAL</v>
      </c>
      <c r="C246" s="350"/>
      <c r="D246" s="689"/>
      <c r="E246" s="687"/>
      <c r="F246" s="687"/>
      <c r="G246" s="687"/>
      <c r="H246" s="687"/>
      <c r="I246" s="381"/>
      <c r="J246" s="370"/>
      <c r="K246" s="370"/>
      <c r="L246" s="370"/>
      <c r="M246" s="386"/>
      <c r="N246" s="377"/>
    </row>
    <row r="247" spans="1:14" ht="15" customHeight="1" x14ac:dyDescent="0.2">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España-Portugal·1|2-1</v>
      </c>
      <c r="D247" s="689"/>
      <c r="E247" s="376"/>
      <c r="F247" s="376"/>
      <c r="G247" s="376"/>
      <c r="H247" s="376"/>
      <c r="I247" s="381"/>
      <c r="J247" s="370"/>
      <c r="K247" s="370"/>
      <c r="L247" s="370"/>
      <c r="M247" s="386"/>
      <c r="N247" s="377"/>
    </row>
    <row r="248" spans="1:14" ht="15" customHeight="1" x14ac:dyDescent="0.2">
      <c r="A248" s="353"/>
      <c r="B248" s="353"/>
      <c r="C248" s="350"/>
      <c r="D248" s="689"/>
      <c r="E248" s="374"/>
      <c r="F248" s="374"/>
      <c r="G248" s="374"/>
      <c r="H248" s="374"/>
      <c r="I248" s="381"/>
      <c r="J248" s="370"/>
      <c r="K248" s="370"/>
      <c r="L248" s="370"/>
      <c r="M248" s="386"/>
      <c r="N248" s="377"/>
    </row>
    <row r="249" spans="1:14" ht="19" customHeight="1" x14ac:dyDescent="0.25">
      <c r="A249" s="353"/>
      <c r="B249" s="358" t="str">
        <f>Idiomas!D139</f>
        <v>CUADRO DE HONOR</v>
      </c>
      <c r="C249" s="350"/>
      <c r="D249" s="689"/>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Mbappé</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x14ac:dyDescent="0.2">
      <c r="A254" s="366"/>
      <c r="B254" s="360" t="str">
        <f>WORLDCUP!W155</f>
        <v>Bota de Plata (2º máximo goleador)</v>
      </c>
      <c r="C254" s="349" t="str">
        <f>WORLDCUP!AA155</f>
        <v>Harry Kane</v>
      </c>
      <c r="D254" s="371"/>
      <c r="E254" s="685"/>
      <c r="F254" s="685"/>
      <c r="G254" s="685"/>
      <c r="H254" s="685"/>
      <c r="I254" s="392"/>
      <c r="J254" s="392"/>
      <c r="K254" s="392"/>
      <c r="L254" s="393"/>
      <c r="M254" s="393"/>
      <c r="N254" s="377"/>
    </row>
    <row r="255" spans="1:14" ht="15" customHeight="1" x14ac:dyDescent="0.2">
      <c r="A255" s="366"/>
      <c r="B255" s="360" t="str">
        <f>WORLDCUP!W156</f>
        <v>Bota de Bronce (3º máximo goleador)</v>
      </c>
      <c r="C255" s="349" t="str">
        <f>WORLDCUP!AA156</f>
        <v>Haaland</v>
      </c>
      <c r="D255" s="371"/>
      <c r="E255" s="685"/>
      <c r="F255" s="685"/>
      <c r="G255" s="685"/>
      <c r="H255" s="685"/>
      <c r="I255" s="392"/>
      <c r="J255" s="392"/>
      <c r="K255" s="392"/>
      <c r="L255" s="393"/>
      <c r="M255" s="393"/>
      <c r="N255" s="377"/>
    </row>
    <row r="256" spans="1:14" ht="15" customHeight="1" x14ac:dyDescent="0.2">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x14ac:dyDescent="0.2">
      <c r="A257" s="364"/>
      <c r="B257" s="360" t="str">
        <f>WORLDCUP!W159</f>
        <v>Balón de Plata (2º mejor jugador)</v>
      </c>
      <c r="C257" s="349" t="str">
        <f>WORLDCUP!AA159</f>
        <v>Pedri</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Mbappé</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A2"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f>IF(ISBLANK(INDEX(WORLDCUP!$AC$4:$AC$147,MATCH(A3,WORLDCUP!$AH$4:$AH$147,0))),"",INDEX(WORLDCUP!$AC$4:$AC$147,MATCH(A3,WORLDCUP!$AH$4:$AH$147,0)))</f>
        <v>1</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x14ac:dyDescent="0.25">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2</v>
      </c>
      <c r="K4" s="451" t="str">
        <f ca="1">+INDEX(WORLDCUP!$AR$6:$AR$97,MATCH(L4,WORLDCUP!$AI$6:$AI$97,0))&amp;"-"&amp;INDEX(WORLDCUP!$AS$6:$AS$97,MATCH(L4,WORLDCUP!$AI$6:$AI$97,0))</f>
        <v>4-2</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4</v>
      </c>
      <c r="W4" s="451" t="str">
        <f ca="1">+INDEX(WORLDCUP!$AR$6:$AR$97,MATCH(X4,WORLDCUP!$AI$6:$AI$97,0))&amp;"-"&amp;INDEX(WORLDCUP!$AS$6:$AS$97,MATCH(X4,WORLDCUP!$AI$6:$AI$97,0))</f>
        <v>5-1</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0</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6</v>
      </c>
      <c r="J5" s="39">
        <f ca="1">+INDEX(WORLDCUP!$AT$6:$AT$97,MATCH(L5,WORLDCUP!$AI$6:$AI$97,0))</f>
        <v>1</v>
      </c>
      <c r="K5" s="43" t="str">
        <f ca="1">+INDEX(WORLDCUP!$AR$6:$AR$97,MATCH(L5,WORLDCUP!$AI$6:$AI$97,0))&amp;"-"&amp;INDEX(WORLDCUP!$AS$6:$AS$97,MATCH(L5,WORLDCUP!$AI$6:$AI$97,0))</f>
        <v>2-1</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2-2</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2</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Irá</v>
      </c>
      <c r="U6" s="38">
        <f ca="1">+INDEX(WORLDCUP!$AM$6:$AM$97,MATCH(X6,WORLDCUP!$AI$6:$AI$97,0))</f>
        <v>2</v>
      </c>
      <c r="V6" s="39">
        <f ca="1">+INDEX(WORLDCUP!$AT$6:$AT$97,MATCH(X6,WORLDCUP!$AI$6:$AI$97,0))</f>
        <v>-2</v>
      </c>
      <c r="W6" s="43" t="str">
        <f ca="1">+INDEX(WORLDCUP!$AR$6:$AR$97,MATCH(X6,WORLDCUP!$AI$6:$AI$97,0))&amp;"-"&amp;INDEX(WORLDCUP!$AS$6:$AS$97,MATCH(X6,WORLDCUP!$AI$6:$AI$97,0))</f>
        <v>1-3</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Cor</v>
      </c>
      <c r="I7" s="477">
        <f ca="1">+INDEX(WORLDCUP!$AM$6:$AM$97,MATCH(L7,WORLDCUP!$AI$6:$AI$97,0))</f>
        <v>1</v>
      </c>
      <c r="J7" s="478">
        <f ca="1">+INDEX(WORLDCUP!$AT$6:$AT$97,MATCH(L7,WORLDCUP!$AI$6:$AI$97,0))</f>
        <v>-2</v>
      </c>
      <c r="K7" s="479" t="str">
        <f ca="1">+INDEX(WORLDCUP!$AR$6:$AR$97,MATCH(L7,WORLDCUP!$AI$6:$AI$97,0))&amp;"-"&amp;INDEX(WORLDCUP!$AS$6:$AS$97,MATCH(L7,WORLDCUP!$AI$6:$AI$97,0))</f>
        <v>2-4</v>
      </c>
      <c r="L7" s="181" t="s">
        <v>658</v>
      </c>
      <c r="M7" s="181">
        <v>63</v>
      </c>
      <c r="N7" s="452"/>
      <c r="O7" s="444" t="str">
        <f ca="1">+MID(INDEX(WORLDCUP!$AA$4:$AA$147,MATCH(M7,WORLDCUP!$AH$4:$AH$147,0)),1,3)</f>
        <v>Egi</v>
      </c>
      <c r="P7" s="445">
        <f>IF(ISBLANK(INDEX(WORLDCUP!$AC$4:$AC$147,MATCH(M7,WORLDCUP!$AH$4:$AH$147,0))),"",INDEX(WORLDCUP!$AC$4:$AC$147,MATCH(M7,WORLDCUP!$AH$4:$AH$147,0)))</f>
        <v>0</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-2</v>
      </c>
      <c r="W7" s="479" t="str">
        <f ca="1">+INDEX(WORLDCUP!$AR$6:$AR$97,MATCH(X7,WORLDCUP!$AI$6:$AI$97,0))&amp;"-"&amp;INDEX(WORLDCUP!$AS$6:$AS$97,MATCH(X7,WORLDCUP!$AI$6:$AI$97,0))</f>
        <v>1-3</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6" thickBot="1" x14ac:dyDescent="0.25">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1</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2</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Bos</v>
      </c>
      <c r="I12" s="449">
        <f ca="1">+INDEX(WORLDCUP!$AM$6:$AM$97,MATCH(L12,WORLDCUP!$AI$6:$AI$97,0))</f>
        <v>9</v>
      </c>
      <c r="J12" s="450">
        <f ca="1">+INDEX(WORLDCUP!$AT$6:$AT$97,MATCH(L12,WORLDCUP!$AI$6:$AI$97,0))</f>
        <v>4</v>
      </c>
      <c r="K12" s="451" t="str">
        <f ca="1">+INDEX(WORLDCUP!$AR$6:$AR$97,MATCH(L12,WORLDCUP!$AI$6:$AI$97,0))&amp;"-"&amp;INDEX(WORLDCUP!$AS$6:$AS$97,MATCH(L12,WORLDCUP!$AI$6:$AI$97,0))</f>
        <v>6-2</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6-0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1</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2</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1</v>
      </c>
      <c r="K13" s="43" t="str">
        <f ca="1">+INDEX(WORLDCUP!$AR$6:$AR$97,MATCH(L13,WORLDCUP!$AI$6:$AI$97,0))&amp;"-"&amp;INDEX(WORLDCUP!$AS$6:$AS$97,MATCH(L13,WORLDCUP!$AI$6:$AI$97,0))</f>
        <v>3-2</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4-1</v>
      </c>
      <c r="X13" s="181" t="s">
        <v>682</v>
      </c>
      <c r="Y13" s="181">
        <v>75</v>
      </c>
      <c r="Z13" s="425" t="s">
        <v>667</v>
      </c>
      <c r="AA13" s="480" t="str">
        <f ca="1">+MID(INDEX(WORLDCUP!$AF$101:$AF$147,MATCH(Y13,WORLDCUP!$Z$101:$Z$147,0)),1,3)</f>
        <v>Mar</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( 3 )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Sui</v>
      </c>
      <c r="I14" s="38">
        <f ca="1">+INDEX(WORLDCUP!$AM$6:$AM$97,MATCH(L14,WORLDCUP!$AI$6:$AI$97,0))</f>
        <v>3</v>
      </c>
      <c r="J14" s="39">
        <f ca="1">+INDEX(WORLDCUP!$AT$6:$AT$97,MATCH(L14,WORLDCUP!$AI$6:$AI$97,0))</f>
        <v>1</v>
      </c>
      <c r="K14" s="43" t="str">
        <f ca="1">+INDEX(WORLDCUP!$AR$6:$AR$97,MATCH(L14,WORLDCUP!$AI$6:$AI$97,0))&amp;"-"&amp;INDEX(WORLDCUP!$AS$6:$AS$97,MATCH(L14,WORLDCUP!$AI$6:$AI$97,0))</f>
        <v>4-3</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1-4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( 4 )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f>IF(ISBLANK(INDEX(WORLDCUP!$AC$4:$AC$147,MATCH(A15,WORLDCUP!$AH$4:$AH$147,0))),"",INDEX(WORLDCUP!$AC$4:$AC$147,MATCH(A15,WORLDCUP!$AH$4:$AH$147,0)))</f>
        <v>0</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0-6</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-6</v>
      </c>
      <c r="W15" s="479" t="str">
        <f ca="1">+INDEX(WORLDCUP!$AR$6:$AR$97,MATCH(X15,WORLDCUP!$AI$6:$AI$97,0))&amp;"-"&amp;INDEX(WORLDCUP!$AS$6:$AS$97,MATCH(X15,WORLDCUP!$AI$6:$AI$97,0))</f>
        <v>0-6</v>
      </c>
      <c r="X15" s="181" t="s">
        <v>683</v>
      </c>
      <c r="Y15" s="181">
        <v>83</v>
      </c>
      <c r="Z15" s="425" t="s">
        <v>691</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4</v>
      </c>
      <c r="K20" s="451" t="str">
        <f ca="1">+INDEX(WORLDCUP!$AR$6:$AR$97,MATCH(L20,WORLDCUP!$AI$6:$AI$97,0))&amp;"-"&amp;INDEX(WORLDCUP!$AS$6:$AS$97,MATCH(L20,WORLDCUP!$AI$6:$AI$97,0))</f>
        <v>6-2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4</v>
      </c>
      <c r="W20" s="451" t="str">
        <f ca="1">+INDEX(WORLDCUP!$AR$6:$AR$97,MATCH(X20,WORLDCUP!$AI$6:$AI$97,0))&amp;"-"&amp;INDEX(WORLDCUP!$AS$6:$AS$97,MATCH(X20,WORLDCUP!$AI$6:$AI$97,0))</f>
        <v>5-1</v>
      </c>
      <c r="X20" s="181" t="s">
        <v>684</v>
      </c>
      <c r="Y20" s="181"/>
      <c r="Z20" s="425"/>
      <c r="AA20" s="494"/>
      <c r="AB20" s="494"/>
      <c r="AC20" s="494"/>
      <c r="AD20" s="181"/>
      <c r="AE20" s="429"/>
      <c r="AF20" s="429"/>
      <c r="AG20" s="475"/>
      <c r="AH20" s="181">
        <v>98</v>
      </c>
      <c r="AI20" s="483" t="str">
        <f ca="1">+MID(INDEX(WORLDCUP!$AF$101:$AF$147,MATCH(AH20,WORLDCUP!$Z$101:$Z$147,0)),1,3)</f>
        <v>Tur</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4</v>
      </c>
      <c r="K21" s="43" t="str">
        <f ca="1">+INDEX(WORLDCUP!$AR$6:$AR$97,MATCH(L21,WORLDCUP!$AI$6:$AI$97,0))&amp;"-"&amp;INDEX(WORLDCUP!$AS$6:$AS$97,MATCH(L21,WORLDCUP!$AI$6:$AI$97,0))</f>
        <v>5-1</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5</v>
      </c>
      <c r="V21" s="39">
        <f ca="1">+INDEX(WORLDCUP!$AT$6:$AT$97,MATCH(X21,WORLDCUP!$AI$6:$AI$97,0))</f>
        <v>2</v>
      </c>
      <c r="W21" s="43" t="str">
        <f ca="1">+INDEX(WORLDCUP!$AR$6:$AR$97,MATCH(X21,WORLDCUP!$AI$6:$AI$97,0))&amp;"-"&amp;INDEX(WORLDCUP!$AS$6:$AS$97,MATCH(X21,WORLDCUP!$AI$6:$AI$97,0))</f>
        <v>4-2</v>
      </c>
      <c r="X21" s="181" t="s">
        <v>685</v>
      </c>
      <c r="Y21" s="181">
        <v>81</v>
      </c>
      <c r="Z21" s="425" t="s">
        <v>669</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3-4</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2</v>
      </c>
      <c r="V22" s="39">
        <f ca="1">+INDEX(WORLDCUP!$AT$6:$AT$97,MATCH(X22,WORLDCUP!$AI$6:$AI$97,0))</f>
        <v>-2</v>
      </c>
      <c r="W22" s="43" t="str">
        <f ca="1">+INDEX(WORLDCUP!$AR$6:$AR$97,MATCH(X22,WORLDCUP!$AI$6:$AI$97,0))&amp;"-"&amp;INDEX(WORLDCUP!$AS$6:$AS$97,MATCH(X22,WORLDCUP!$AI$6:$AI$97,0))</f>
        <v>1-3</v>
      </c>
      <c r="X22" s="181" t="s">
        <v>450</v>
      </c>
      <c r="Y22" s="181">
        <v>81</v>
      </c>
      <c r="Z22" s="425" t="s">
        <v>737</v>
      </c>
      <c r="AA22" s="426" t="str">
        <f ca="1">+MID(INDEX(WORLDCUP!$AF$101:$AF$147,MATCH(Y22,WORLDCUP!$Z$101:$Z$147,0)),1,IF(WORLDCUP!$H$113&lt;144,6,3))</f>
        <v>Sui</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-7</v>
      </c>
      <c r="K23" s="479" t="str">
        <f ca="1">+INDEX(WORLDCUP!$AR$6:$AR$97,MATCH(L23,WORLDCUP!$AI$6:$AI$97,0))&amp;"-"&amp;INDEX(WORLDCUP!$AS$6:$AS$97,MATCH(L23,WORLDCUP!$AI$6:$AI$97,0))</f>
        <v>0-7</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-4</v>
      </c>
      <c r="W23" s="479" t="str">
        <f ca="1">+INDEX(WORLDCUP!$AR$6:$AR$97,MATCH(X23,WORLDCUP!$AI$6:$AI$97,0))&amp;"-"&amp;INDEX(WORLDCUP!$AS$6:$AS$97,MATCH(X23,WORLDCUP!$AI$6:$AI$97,0))</f>
        <v>0-4</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0</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Ara</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6" thickBot="1" x14ac:dyDescent="0.25">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4</v>
      </c>
      <c r="K28" s="451" t="str">
        <f ca="1">+INDEX(WORLDCUP!$AR$6:$AR$97,MATCH(L28,WORLDCUP!$AI$6:$AI$97,0))&amp;"-"&amp;INDEX(WORLDCUP!$AS$6:$AS$97,MATCH(L28,WORLDCUP!$AI$6:$AI$97,0))</f>
        <v>6-2</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7-1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0</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Est</v>
      </c>
      <c r="I29" s="38">
        <f ca="1">+INDEX(WORLDCUP!$AM$6:$AM$97,MATCH(L29,WORLDCUP!$AI$6:$AI$97,0))</f>
        <v>4</v>
      </c>
      <c r="J29" s="39">
        <f ca="1">+INDEX(WORLDCUP!$AT$6:$AT$97,MATCH(L29,WORLDCUP!$AI$6:$AI$97,0))</f>
        <v>0</v>
      </c>
      <c r="K29" s="43" t="str">
        <f ca="1">+INDEX(WORLDCUP!$AR$6:$AR$97,MATCH(L29,WORLDCUP!$AI$6:$AI$97,0))&amp;"-"&amp;INDEX(WORLDCUP!$AS$6:$AS$97,MATCH(L29,WORLDCUP!$AI$6:$AI$97,0))</f>
        <v>3-3</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4-3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6" thickBot="1" x14ac:dyDescent="0.25">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3-3</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2-4</v>
      </c>
      <c r="X30" s="181" t="s">
        <v>451</v>
      </c>
      <c r="Y30" s="181">
        <v>78</v>
      </c>
      <c r="Z30" s="425" t="s">
        <v>673</v>
      </c>
      <c r="AA30" s="426" t="str">
        <f ca="1">+MID(INDEX(WORLDCUP!$AA$101:$AA$147,MATCH(Y30,WORLDCUP!$Z$101:$Z$147,0)),1,3)</f>
        <v>Ecu</v>
      </c>
      <c r="AB30" s="472">
        <f>+IF(ISBLANK(INDEX(WORLDCUP!$AC$101:$AC$147,MATCH(Y30,WORLDCUP!$Z$101:$Z$147,0))),"",INDEX(WORLDCUP!$AC$101:$AC$147,MATCH(Y30,WORLDCUP!$Z$101:$Z$147,0)))</f>
        <v>0</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-4</v>
      </c>
      <c r="K31" s="479" t="str">
        <f ca="1">+INDEX(WORLDCUP!$AR$6:$AR$97,MATCH(L31,WORLDCUP!$AI$6:$AI$97,0))&amp;"-"&amp;INDEX(WORLDCUP!$AS$6:$AS$97,MATCH(L31,WORLDCUP!$AI$6:$AI$97,0))</f>
        <v>0-4</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0-5</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Nor</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5</v>
      </c>
      <c r="K36" s="451" t="str">
        <f ca="1">+INDEX(WORLDCUP!$AR$6:$AR$97,MATCH(L36,WORLDCUP!$AI$6:$AI$97,0))&amp;"-"&amp;INDEX(WORLDCUP!$AS$6:$AS$97,MATCH(L36,WORLDCUP!$AI$6:$AI$97,0))</f>
        <v>7-2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4</v>
      </c>
      <c r="W36" s="451" t="str">
        <f ca="1">+INDEX(WORLDCUP!$AR$6:$AR$97,MATCH(X36,WORLDCUP!$AI$6:$AI$97,0))&amp;"-"&amp;INDEX(WORLDCUP!$AS$6:$AS$97,MATCH(X36,WORLDCUP!$AI$6:$AI$97,0))</f>
        <v>5-1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0</v>
      </c>
      <c r="BK36" s="465">
        <f ca="1">COUNTIF(Pool!$C$210:$C$217,Fixture!BG36)-BL36-BM36-BN36-BO36</f>
        <v>1</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4</v>
      </c>
      <c r="K37" s="43" t="str">
        <f ca="1">+INDEX(WORLDCUP!$AR$6:$AR$97,MATCH(L37,WORLDCUP!$AI$6:$AI$97,0))&amp;"-"&amp;INDEX(WORLDCUP!$AS$6:$AS$97,MATCH(L37,WORLDCUP!$AI$6:$AI$97,0))</f>
        <v>6-2</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4-1</v>
      </c>
      <c r="X37" s="181" t="s">
        <v>691</v>
      </c>
      <c r="Y37" s="181">
        <v>80</v>
      </c>
      <c r="Z37" s="425" t="s">
        <v>736</v>
      </c>
      <c r="AA37" s="480" t="str">
        <f ca="1">+MID(INDEX(WORLDCUP!$AF$101:$AF$147,MATCH(Y37,WORLDCUP!$Z$101:$Z$147,0)),1,IF(WORLDCUP!$H$113&lt;144,6,3))</f>
        <v>Cos</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( 2 )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-2</v>
      </c>
      <c r="K38" s="43" t="str">
        <f ca="1">+INDEX(WORLDCUP!$AR$6:$AR$97,MATCH(L38,WORLDCUP!$AI$6:$AI$97,0))&amp;"-"&amp;INDEX(WORLDCUP!$AS$6:$AS$97,MATCH(L38,WORLDCUP!$AI$6:$AI$97,0))</f>
        <v>2-4</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-3</v>
      </c>
      <c r="W38" s="43" t="str">
        <f ca="1">+INDEX(WORLDCUP!$AR$6:$AR$97,MATCH(X38,WORLDCUP!$AI$6:$AI$97,0))&amp;"-"&amp;INDEX(WORLDCUP!$AS$6:$AS$97,MATCH(X38,WORLDCUP!$AI$6:$AI$97,0))</f>
        <v>1-4</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1</v>
      </c>
      <c r="AO38" s="431" t="str">
        <f>+IF(ISBLANK(INDEX(WORLDCUP!$AE$101:$AE$147,MATCH(AL38,WORLDCUP!$Z$101:$Z$147,0))),"","( "&amp;INDEX(WORLDCUP!$AE$101:$AE$147,MATCH(AL38,WORLDCUP!$Z$101:$Z$147,0))&amp;" )")</f>
        <v>( 4 )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-7</v>
      </c>
      <c r="K39" s="479" t="str">
        <f ca="1">+INDEX(WORLDCUP!$AR$6:$AR$97,MATCH(L39,WORLDCUP!$AI$6:$AI$97,0))&amp;"-"&amp;INDEX(WORLDCUP!$AS$6:$AS$97,MATCH(L39,WORLDCUP!$AI$6:$AI$97,0))</f>
        <v>0-7</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-4</v>
      </c>
      <c r="W39" s="479" t="str">
        <f ca="1">+INDEX(WORLDCUP!$AR$6:$AR$97,MATCH(X39,WORLDCUP!$AI$6:$AI$97,0))&amp;"-"&amp;INDEX(WORLDCUP!$AS$6:$AS$97,MATCH(X39,WORLDCUP!$AI$6:$AI$97,0))</f>
        <v>1-5</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( 3 )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4</v>
      </c>
      <c r="K44" s="451" t="str">
        <f ca="1">+INDEX(WORLDCUP!$AR$6:$AR$97,MATCH(L44,WORLDCUP!$AI$6:$AI$97,0))&amp;"-"&amp;INDEX(WORLDCUP!$AS$6:$AS$97,MATCH(L44,WORLDCUP!$AI$6:$AI$97,0))</f>
        <v>5-1</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4</v>
      </c>
      <c r="W44" s="451" t="str">
        <f ca="1">+INDEX(WORLDCUP!$AR$6:$AR$97,MATCH(X44,WORLDCUP!$AI$6:$AI$97,0))&amp;"-"&amp;INDEX(WORLDCUP!$AS$6:$AS$97,MATCH(X44,WORLDCUP!$AI$6:$AI$97,0))</f>
        <v>5-1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( 5 )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2-2</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4-2</v>
      </c>
      <c r="X45" s="181" t="s">
        <v>694</v>
      </c>
      <c r="Y45" s="181">
        <v>85</v>
      </c>
      <c r="Z45" s="425" t="s">
        <v>659</v>
      </c>
      <c r="AA45" s="426" t="str">
        <f ca="1">+MID(INDEX(WORLDCUP!$AA$101:$AA$147,MATCH(Y45,WORLDCUP!$Z$101:$Z$147,0)),1,3)</f>
        <v>Bos</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0</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1-2</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1-2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Bos</v>
      </c>
      <c r="AF46" s="457">
        <f>+IF(ISBLANK(INDEX(WORLDCUP!$AC$101:$AC$147,MATCH(AD46,WORLDCUP!$Z$101:$Z$147,0))),"",INDEX(WORLDCUP!$AC$101:$AC$147,MATCH(AD46,WORLDCUP!$Z$101:$Z$147,0)))</f>
        <v>1</v>
      </c>
      <c r="AG46" s="501" t="str">
        <f>+IF(ISBLANK(INDEX(WORLDCUP!$AB$101:$AB$147,MATCH(AD46,WORLDCUP!$Z$101:$Z$147,0))),"","( "&amp;INDEX(WORLDCUP!$AB$101:$AB$147,MATCH(AD46,WORLDCUP!$Z$101:$Z$147,0))&amp;" )")</f>
        <v>( 3 )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-3</v>
      </c>
      <c r="K47" s="479" t="str">
        <f ca="1">+INDEX(WORLDCUP!$AR$6:$AR$97,MATCH(L47,WORLDCUP!$AI$6:$AI$97,0))&amp;"-"&amp;INDEX(WORLDCUP!$AS$6:$AS$97,MATCH(L47,WORLDCUP!$AI$6:$AI$97,0))</f>
        <v>0-3</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0-5</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( 4 )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0</v>
      </c>
      <c r="BK49" s="465">
        <f ca="1">COUNTIF(Pool!$C$210:$C$217,Fixture!BG49)-BL49-BM49-BN49-BO49</f>
        <v>1</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Arabia Saudita</v>
      </c>
      <c r="D47" s="9" t="str">
        <f ca="1">+WORLDCUP!BD67</f>
        <v>Argelia</v>
      </c>
      <c r="E47" s="9" t="str">
        <f ca="1">+WORLDCUP!BD59</f>
        <v>Suiza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Costa de Marfil</v>
      </c>
      <c r="D48" s="9" t="str">
        <f ca="1">+WORLDCUP!BD67</f>
        <v>Argelia</v>
      </c>
      <c r="E48" s="9" t="str">
        <f ca="1">+WORLDCUP!BD66</f>
        <v>Senegal</v>
      </c>
      <c r="F48" s="9" t="str">
        <f ca="1">+WORLDCUP!BD59</f>
        <v>Suiza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Costa de Marfil</v>
      </c>
      <c r="D49" s="9" t="str">
        <f ca="1">+WORLDCUP!BD67</f>
        <v>Argelia</v>
      </c>
      <c r="E49" s="9" t="str">
        <f ca="1">+WORLDCUP!BD59</f>
        <v>Suiza</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Costa de Marfil</v>
      </c>
      <c r="D50" s="9" t="str">
        <f ca="1">+WORLDCUP!BD67</f>
        <v>Argelia</v>
      </c>
      <c r="E50" s="9" t="str">
        <f ca="1">+WORLDCUP!BD59</f>
        <v>Suiza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Costa de Marfil</v>
      </c>
      <c r="D51" s="9" t="str">
        <f ca="1">+WORLDCUP!BD67</f>
        <v>Argelia</v>
      </c>
      <c r="E51" s="9" t="str">
        <f ca="1">+WORLDCUP!BD59</f>
        <v>Suiza</v>
      </c>
      <c r="F51" s="9" t="str">
        <f ca="1">+WORLDCUP!BD63</f>
        <v>Suecia</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Costa de Marfil</v>
      </c>
      <c r="D52" s="9" t="str">
        <f ca="1">+WORLDCUP!BD64</f>
        <v>Irán</v>
      </c>
      <c r="E52" s="9" t="str">
        <f ca="1">+WORLDCUP!BD59</f>
        <v>Suiza</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Costa de Marfil</v>
      </c>
      <c r="D53" s="9" t="str">
        <f ca="1">+WORLDCUP!BD67</f>
        <v>Argelia</v>
      </c>
      <c r="E53" s="9" t="str">
        <f ca="1">+WORLDCUP!BD59</f>
        <v>Suiza</v>
      </c>
      <c r="F53" s="9" t="str">
        <f ca="1">+WORLDCUP!BD63</f>
        <v>Suecia</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Costa de Marfil</v>
      </c>
      <c r="D54" s="9" t="str">
        <f ca="1">+WORLDCUP!BD67</f>
        <v>Argelia</v>
      </c>
      <c r="E54" s="9" t="str">
        <f ca="1">+WORLDCUP!BD59</f>
        <v>Suiza</v>
      </c>
      <c r="F54" s="9" t="str">
        <f ca="1">+WORLDCUP!BD63</f>
        <v>Suecia</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Arabia Saudita</v>
      </c>
      <c r="D55" s="9" t="str">
        <f ca="1">+WORLDCUP!BD67</f>
        <v>Argelia</v>
      </c>
      <c r="E55" s="9" t="str">
        <f ca="1">+WORLDCUP!BD59</f>
        <v>Suiza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Arabia Saudita</v>
      </c>
      <c r="D56" s="9" t="str">
        <f ca="1">+WORLDCUP!BD67</f>
        <v>Argelia</v>
      </c>
      <c r="E56" s="9" t="str">
        <f ca="1">+WORLDCUP!BD59</f>
        <v>Suiza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Irán</v>
      </c>
      <c r="E57" s="9" t="str">
        <f ca="1">+WORLDCUP!BD59</f>
        <v>Suiza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Arabia Saudita</v>
      </c>
      <c r="D58" s="9" t="str">
        <f ca="1">+WORLDCUP!BD64</f>
        <v>Irán</v>
      </c>
      <c r="E58" s="9" t="str">
        <f ca="1">+WORLDCUP!BD59</f>
        <v>Suiza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Arabia Saudita</v>
      </c>
      <c r="D59" s="9" t="str">
        <f ca="1">+WORLDCUP!BD64</f>
        <v>Irán</v>
      </c>
      <c r="E59" s="9" t="str">
        <f ca="1">+WORLDCUP!BD59</f>
        <v>Suiza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Arabia Saudita</v>
      </c>
      <c r="D60" s="9" t="str">
        <f ca="1">+WORLDCUP!BD64</f>
        <v>Irán</v>
      </c>
      <c r="E60" s="9" t="str">
        <f ca="1">+WORLDCUP!BD59</f>
        <v>Suiza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Arabia Saudita</v>
      </c>
      <c r="D61" s="9" t="str">
        <f ca="1">+WORLDCUP!BD64</f>
        <v>Irán</v>
      </c>
      <c r="E61" s="9" t="str">
        <f ca="1">+WORLDCUP!BD59</f>
        <v>Suiza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Costa de Marfil</v>
      </c>
      <c r="D62" s="9" t="str">
        <f ca="1">+WORLDCUP!BD67</f>
        <v>Argelia</v>
      </c>
      <c r="E62" s="9" t="str">
        <f ca="1">+WORLDCUP!BD59</f>
        <v>Suiza</v>
      </c>
      <c r="F62" s="9" t="str">
        <f ca="1">+WORLDCUP!BD61</f>
        <v>Paraguay</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Costa de Marfil</v>
      </c>
      <c r="D63" s="9" t="str">
        <f ca="1">+WORLDCUP!BD67</f>
        <v>Argelia</v>
      </c>
      <c r="E63" s="9" t="str">
        <f ca="1">+WORLDCUP!BD59</f>
        <v>Suiza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Costa de Marfil</v>
      </c>
      <c r="D64" s="9" t="str">
        <f ca="1">+WORLDCUP!BD67</f>
        <v>Argelia</v>
      </c>
      <c r="E64" s="9" t="str">
        <f ca="1">+WORLDCUP!BD59</f>
        <v>Suiza</v>
      </c>
      <c r="F64" s="9" t="str">
        <f ca="1">+WORLDCUP!BD61</f>
        <v>Paraguay</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Costa de Marfil</v>
      </c>
      <c r="D65" s="9" t="str">
        <f ca="1">+WORLDCUP!BD64</f>
        <v>Irán</v>
      </c>
      <c r="E65" s="9" t="str">
        <f ca="1">+WORLDCUP!BD59</f>
        <v>Suiza</v>
      </c>
      <c r="F65" s="9" t="str">
        <f ca="1">+WORLDCUP!BD61</f>
        <v>Paraguay</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Costa de Marfil</v>
      </c>
      <c r="D66" s="9" t="str">
        <f ca="1">+WORLDCUP!BD67</f>
        <v>Argelia</v>
      </c>
      <c r="E66" s="9" t="str">
        <f ca="1">+WORLDCUP!BD59</f>
        <v>Suiza</v>
      </c>
      <c r="F66" s="9" t="str">
        <f ca="1">+WORLDCUP!BD61</f>
        <v>Paraguay</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Costa de Marfil</v>
      </c>
      <c r="D67" s="9" t="str">
        <f ca="1">+WORLDCUP!BD67</f>
        <v>Argelia</v>
      </c>
      <c r="E67" s="9" t="str">
        <f ca="1">+WORLDCUP!BD59</f>
        <v>Suiza</v>
      </c>
      <c r="F67" s="9" t="str">
        <f ca="1">+WORLDCUP!BD61</f>
        <v>Paraguay</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0</v>
      </c>
      <c r="C68" s="9" t="str">
        <f ca="1">+WORLDCUP!BD62</f>
        <v>Costa de Marfil</v>
      </c>
      <c r="D68" s="9" t="str">
        <f ca="1">+WORLDCUP!BD67</f>
        <v>Argelia</v>
      </c>
      <c r="E68" s="9" t="str">
        <f ca="1">+WORLDCUP!BD59</f>
        <v>Suiza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Costa de Marfil</v>
      </c>
      <c r="D69" s="9" t="str">
        <f ca="1">+WORLDCUP!BD67</f>
        <v>Argelia</v>
      </c>
      <c r="E69" s="9" t="str">
        <f ca="1">+WORLDCUP!BD59</f>
        <v>Suiza</v>
      </c>
      <c r="F69" s="9" t="str">
        <f ca="1">+WORLDCUP!BD61</f>
        <v>Paraguay</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Costa de Marfil</v>
      </c>
      <c r="D70" s="9" t="str">
        <f ca="1">+WORLDCUP!BD66</f>
        <v>Senegal</v>
      </c>
      <c r="E70" s="9" t="str">
        <f ca="1">+WORLDCUP!BD59</f>
        <v>Suiza</v>
      </c>
      <c r="F70" s="9" t="str">
        <f ca="1">+WORLDCUP!BD61</f>
        <v>Paraguay</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Costa de Marfil</v>
      </c>
      <c r="D71" s="9" t="str">
        <f ca="1">+WORLDCUP!BD67</f>
        <v>Argelia</v>
      </c>
      <c r="E71" s="9" t="str">
        <f ca="1">+WORLDCUP!BD59</f>
        <v>Suiza</v>
      </c>
      <c r="F71" s="9" t="str">
        <f ca="1">+WORLDCUP!BD61</f>
        <v>Paraguay</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Costa de Marfil</v>
      </c>
      <c r="D72" s="9" t="str">
        <f ca="1">+WORLDCUP!BD67</f>
        <v>Argelia</v>
      </c>
      <c r="E72" s="9" t="str">
        <f ca="1">+WORLDCUP!BD59</f>
        <v>Suiza</v>
      </c>
      <c r="F72" s="9" t="str">
        <f ca="1">+WORLDCUP!BD61</f>
        <v>Paraguay</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Costa de Marfil</v>
      </c>
      <c r="D73" s="9" t="str">
        <f ca="1">+WORLDCUP!BD64</f>
        <v>Irán</v>
      </c>
      <c r="E73" s="9" t="str">
        <f ca="1">+WORLDCUP!BD59</f>
        <v>Suiza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Costa de Marfil</v>
      </c>
      <c r="D74" s="9" t="str">
        <f ca="1">+WORLDCUP!BD64</f>
        <v>Irán</v>
      </c>
      <c r="E74" s="9" t="str">
        <f ca="1">+WORLDCUP!BD59</f>
        <v>Suiza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Costa de Marfil</v>
      </c>
      <c r="D75" s="9" t="str">
        <f ca="1">+WORLDCUP!BD64</f>
        <v>Irán</v>
      </c>
      <c r="E75" s="9" t="str">
        <f ca="1">+WORLDCUP!BD59</f>
        <v>Suiza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Costa de Marfil</v>
      </c>
      <c r="D76" s="9" t="str">
        <f ca="1">+WORLDCUP!BD64</f>
        <v>Irán</v>
      </c>
      <c r="E76" s="9" t="str">
        <f ca="1">+WORLDCUP!BD59</f>
        <v>Suiza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Costa de Marfil</v>
      </c>
      <c r="D77" s="9" t="str">
        <f ca="1">+WORLDCUP!BD64</f>
        <v>Irán</v>
      </c>
      <c r="E77" s="9" t="str">
        <f ca="1">+WORLDCUP!BD59</f>
        <v>Suiza</v>
      </c>
      <c r="F77" s="9" t="str">
        <f ca="1">+WORLDCUP!BD61</f>
        <v>Paraguay</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Arabia Saudita</v>
      </c>
      <c r="D78" s="9" t="str">
        <f ca="1">+WORLDCUP!BD64</f>
        <v>Irán</v>
      </c>
      <c r="E78" s="9" t="str">
        <f ca="1">+WORLDCUP!BD59</f>
        <v>Suiza</v>
      </c>
      <c r="F78" s="9" t="str">
        <f ca="1">+WORLDCUP!BD61</f>
        <v>Paraguay</v>
      </c>
      <c r="G78" s="9" t="str">
        <f ca="1">+WORLDCUP!BD67</f>
        <v>Argelia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Arabia Saudita</v>
      </c>
      <c r="D79" s="9" t="str">
        <f ca="1">+WORLDCUP!BD64</f>
        <v>Irán</v>
      </c>
      <c r="E79" s="9" t="str">
        <f ca="1">+WORLDCUP!BD59</f>
        <v>Suiza</v>
      </c>
      <c r="F79" s="9" t="str">
        <f ca="1">+WORLDCUP!BD61</f>
        <v>Paraguay</v>
      </c>
      <c r="G79" s="9" t="str">
        <f ca="1">+WORLDCUP!BD67</f>
        <v>Argelia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Costa de Marfil</v>
      </c>
      <c r="D80" s="9" t="str">
        <f ca="1">+WORLDCUP!BD64</f>
        <v>Irán</v>
      </c>
      <c r="E80" s="9" t="str">
        <f ca="1">+WORLDCUP!BD59</f>
        <v>Suiza</v>
      </c>
      <c r="F80" s="9" t="str">
        <f ca="1">+WORLDCUP!BD61</f>
        <v>Paraguay</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Costa de Marfil</v>
      </c>
      <c r="D81" s="9" t="str">
        <f ca="1">+WORLDCUP!BD64</f>
        <v>Irán</v>
      </c>
      <c r="E81" s="9" t="str">
        <f ca="1">+WORLDCUP!BD59</f>
        <v>Suiza</v>
      </c>
      <c r="F81" s="9" t="str">
        <f ca="1">+WORLDCUP!BD61</f>
        <v>Paraguay</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Arabia Saudita</v>
      </c>
      <c r="D82" s="9" t="str">
        <f ca="1">+WORLDCUP!BD64</f>
        <v>Irán</v>
      </c>
      <c r="E82" s="9" t="str">
        <f ca="1">+WORLDCUP!BD59</f>
        <v>Suiza</v>
      </c>
      <c r="F82" s="9" t="str">
        <f ca="1">+WORLDCUP!BD61</f>
        <v>Paraguay</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Arabia Saudita</v>
      </c>
      <c r="D83" s="9" t="str">
        <f ca="1">+WORLDCUP!BD67</f>
        <v>Argelia</v>
      </c>
      <c r="E83" s="9" t="str">
        <f ca="1">+WORLDCUP!BD59</f>
        <v>Suiza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Arabia Saudita</v>
      </c>
      <c r="D84" s="9" t="str">
        <f ca="1">+WORLDCUP!BD67</f>
        <v>Argelia</v>
      </c>
      <c r="E84" s="9" t="str">
        <f ca="1">+WORLDCUP!BD59</f>
        <v>Suiza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Irán</v>
      </c>
      <c r="E85" s="9" t="str">
        <f ca="1">+WORLDCUP!BD59</f>
        <v>Suiza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Arabia Saudita</v>
      </c>
      <c r="D86" s="9" t="str">
        <f ca="1">+WORLDCUP!BD64</f>
        <v>Irán</v>
      </c>
      <c r="E86" s="9" t="str">
        <f ca="1">+WORLDCUP!BD59</f>
        <v>Suiza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Arabia Saudita</v>
      </c>
      <c r="D87" s="9" t="str">
        <f ca="1">+WORLDCUP!BD64</f>
        <v>Irán</v>
      </c>
      <c r="E87" s="9" t="str">
        <f ca="1">+WORLDCUP!BD59</f>
        <v>Suiza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Arabia Saudita</v>
      </c>
      <c r="D88" s="9" t="str">
        <f ca="1">+WORLDCUP!BD64</f>
        <v>Irán</v>
      </c>
      <c r="E88" s="9" t="str">
        <f ca="1">+WORLDCUP!BD59</f>
        <v>Suiza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Arabia Saudita</v>
      </c>
      <c r="D89" s="9" t="str">
        <f ca="1">+WORLDCUP!BD64</f>
        <v>Irán</v>
      </c>
      <c r="E89" s="9" t="str">
        <f ca="1">+WORLDCUP!BD59</f>
        <v>Suiza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Costa de Marfil</v>
      </c>
      <c r="D90" s="9" t="str">
        <f ca="1">+WORLDCUP!BD67</f>
        <v>Argelia</v>
      </c>
      <c r="E90" s="9" t="str">
        <f ca="1">+WORLDCUP!BD59</f>
        <v>Suiza</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Costa de Marfil</v>
      </c>
      <c r="D91" s="9" t="str">
        <f ca="1">+WORLDCUP!BD67</f>
        <v>Argelia</v>
      </c>
      <c r="E91" s="9" t="str">
        <f ca="1">+WORLDCUP!BD59</f>
        <v>Suiza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Costa de Marfil</v>
      </c>
      <c r="D92" s="9" t="str">
        <f ca="1">+WORLDCUP!BD67</f>
        <v>Argelia</v>
      </c>
      <c r="E92" s="9" t="str">
        <f ca="1">+WORLDCUP!BD59</f>
        <v>Suiza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Costa de Marfil</v>
      </c>
      <c r="D93" s="9" t="str">
        <f ca="1">+WORLDCUP!BD64</f>
        <v>Irán</v>
      </c>
      <c r="E93" s="9" t="str">
        <f ca="1">+WORLDCUP!BD59</f>
        <v>Suiza</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Costa de Marfil</v>
      </c>
      <c r="D94" s="9" t="str">
        <f ca="1">+WORLDCUP!BD67</f>
        <v>Argelia</v>
      </c>
      <c r="E94" s="9" t="str">
        <f ca="1">+WORLDCUP!BD59</f>
        <v>Suiza</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Costa de Marfil</v>
      </c>
      <c r="D95" s="9" t="str">
        <f ca="1">+WORLDCUP!BD67</f>
        <v>Argelia</v>
      </c>
      <c r="E95" s="9" t="str">
        <f ca="1">+WORLDCUP!BD59</f>
        <v>Suiza</v>
      </c>
      <c r="F95" s="9" t="str">
        <f ca="1">+WORLDCUP!BD60</f>
        <v>Escocia</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Costa de Marfil</v>
      </c>
      <c r="D96" s="9" t="str">
        <f ca="1">+WORLDCUP!BD67</f>
        <v>Argelia</v>
      </c>
      <c r="E96" s="9" t="str">
        <f ca="1">+WORLDCUP!BD59</f>
        <v>Suiza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Costa de Marfil</v>
      </c>
      <c r="D97" s="9" t="str">
        <f ca="1">+WORLDCUP!BD67</f>
        <v>Argelia</v>
      </c>
      <c r="E97" s="9" t="str">
        <f ca="1">+WORLDCUP!BD59</f>
        <v>Suiza</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Costa de Marfil</v>
      </c>
      <c r="D98" s="9" t="str">
        <f ca="1">+WORLDCUP!BD66</f>
        <v>Senegal</v>
      </c>
      <c r="E98" s="9" t="str">
        <f ca="1">+WORLDCUP!BD59</f>
        <v>Suiza</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Costa de Marfil</v>
      </c>
      <c r="D99" s="9" t="str">
        <f ca="1">+WORLDCUP!BD67</f>
        <v>Argelia</v>
      </c>
      <c r="E99" s="9" t="str">
        <f ca="1">+WORLDCUP!BD59</f>
        <v>Suiza</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Costa de Marfil</v>
      </c>
      <c r="D100" s="9" t="str">
        <f ca="1">+WORLDCUP!BD67</f>
        <v>Argelia</v>
      </c>
      <c r="E100" s="9" t="str">
        <f ca="1">+WORLDCUP!BD59</f>
        <v>Suiza</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Costa de Marfil</v>
      </c>
      <c r="D101" s="9" t="str">
        <f ca="1">+WORLDCUP!BD64</f>
        <v>Irán</v>
      </c>
      <c r="E101" s="9" t="str">
        <f ca="1">+WORLDCUP!BD59</f>
        <v>Suiza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Costa de Marfil</v>
      </c>
      <c r="D102" s="9" t="str">
        <f ca="1">+WORLDCUP!BD64</f>
        <v>Irán</v>
      </c>
      <c r="E102" s="9" t="str">
        <f ca="1">+WORLDCUP!BD59</f>
        <v>Suiza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Costa de Marfil</v>
      </c>
      <c r="D103" s="9" t="str">
        <f ca="1">+WORLDCUP!BD64</f>
        <v>Irán</v>
      </c>
      <c r="E103" s="9" t="str">
        <f ca="1">+WORLDCUP!BD59</f>
        <v>Suiza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Costa de Marfil</v>
      </c>
      <c r="D104" s="9" t="str">
        <f ca="1">+WORLDCUP!BD64</f>
        <v>Irán</v>
      </c>
      <c r="E104" s="9" t="str">
        <f ca="1">+WORLDCUP!BD59</f>
        <v>Suiza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Costa de Marfil</v>
      </c>
      <c r="D105" s="9" t="str">
        <f ca="1">+WORLDCUP!BD64</f>
        <v>Irán</v>
      </c>
      <c r="E105" s="9" t="str">
        <f ca="1">+WORLDCUP!BD59</f>
        <v>Suiza</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Arabia Saudita</v>
      </c>
      <c r="D106" s="9" t="str">
        <f ca="1">+WORLDCUP!BD64</f>
        <v>Irán</v>
      </c>
      <c r="E106" s="9" t="str">
        <f ca="1">+WORLDCUP!BD59</f>
        <v>Suiza</v>
      </c>
      <c r="F106" s="9" t="str">
        <f ca="1">+WORLDCUP!BD60</f>
        <v>Escocia</v>
      </c>
      <c r="G106" s="9" t="str">
        <f ca="1">+WORLDCUP!BD67</f>
        <v>Argelia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Arabia Saudita</v>
      </c>
      <c r="D107" s="9" t="str">
        <f ca="1">+WORLDCUP!BD64</f>
        <v>Irán</v>
      </c>
      <c r="E107" s="9" t="str">
        <f ca="1">+WORLDCUP!BD59</f>
        <v>Suiza</v>
      </c>
      <c r="F107" s="9" t="str">
        <f ca="1">+WORLDCUP!BD60</f>
        <v>Escocia</v>
      </c>
      <c r="G107" s="9" t="str">
        <f ca="1">+WORLDCUP!BD67</f>
        <v>Argelia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Costa de Marfil</v>
      </c>
      <c r="D108" s="9" t="str">
        <f ca="1">+WORLDCUP!BD64</f>
        <v>Irán</v>
      </c>
      <c r="E108" s="9" t="str">
        <f ca="1">+WORLDCUP!BD59</f>
        <v>Suiza</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Costa de Marfil</v>
      </c>
      <c r="D109" s="9" t="str">
        <f ca="1">+WORLDCUP!BD64</f>
        <v>Irán</v>
      </c>
      <c r="E109" s="9" t="str">
        <f ca="1">+WORLDCUP!BD59</f>
        <v>Suiza</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Arabia Saudita</v>
      </c>
      <c r="D110" s="9" t="str">
        <f ca="1">+WORLDCUP!BD64</f>
        <v>Irán</v>
      </c>
      <c r="E110" s="9" t="str">
        <f ca="1">+WORLDCUP!BD59</f>
        <v>Suiza</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Arabia Saudita</v>
      </c>
      <c r="D111" s="9" t="str">
        <f ca="1">+WORLDCUP!BD67</f>
        <v>Argelia</v>
      </c>
      <c r="E111" s="9" t="str">
        <f ca="1">+WORLDCUP!BD59</f>
        <v>Suiza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Irán</v>
      </c>
      <c r="E112" s="9" t="str">
        <f ca="1">+WORLDCUP!BD59</f>
        <v>Suiza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Arabia Saudita</v>
      </c>
      <c r="D113" s="9" t="str">
        <f ca="1">+WORLDCUP!BD64</f>
        <v>Irán</v>
      </c>
      <c r="E113" s="9" t="str">
        <f ca="1">+WORLDCUP!BD59</f>
        <v>Suiza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Arabia Saudita</v>
      </c>
      <c r="D114" s="9" t="str">
        <f ca="1">+WORLDCUP!BD64</f>
        <v>Irán</v>
      </c>
      <c r="E114" s="9" t="str">
        <f ca="1">+WORLDCUP!BD59</f>
        <v>Suiza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Arabia Saudita</v>
      </c>
      <c r="D115" s="9" t="str">
        <f ca="1">+WORLDCUP!BD64</f>
        <v>Irán</v>
      </c>
      <c r="E115" s="9" t="str">
        <f ca="1">+WORLDCUP!BD59</f>
        <v>Suiza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Arabia Saudita</v>
      </c>
      <c r="D116" s="9" t="str">
        <f ca="1">+WORLDCUP!BD64</f>
        <v>Irán</v>
      </c>
      <c r="E116" s="9" t="str">
        <f ca="1">+WORLDCUP!BD59</f>
        <v>Suiza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Escocia</v>
      </c>
      <c r="D117" s="9" t="str">
        <f ca="1">+WORLDCUP!BD67</f>
        <v>Argelia</v>
      </c>
      <c r="E117" s="9" t="str">
        <f ca="1">+WORLDCUP!BD59</f>
        <v>Suiza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Escocia</v>
      </c>
      <c r="D118" s="9" t="str">
        <f ca="1">+WORLDCUP!BD67</f>
        <v>Argelia</v>
      </c>
      <c r="E118" s="9" t="str">
        <f ca="1">+WORLDCUP!BD59</f>
        <v>Suiza</v>
      </c>
      <c r="F118" s="9" t="str">
        <f ca="1">+WORLDCUP!BD61</f>
        <v>Paraguay</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Escocia</v>
      </c>
      <c r="D119" s="9" t="str">
        <f ca="1">+WORLDCUP!BD66</f>
        <v>Senegal</v>
      </c>
      <c r="E119" s="9" t="str">
        <f ca="1">+WORLDCUP!BD59</f>
        <v>Suiza</v>
      </c>
      <c r="F119" s="9" t="str">
        <f ca="1">+WORLDCUP!BD61</f>
        <v>Paraguay</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Escocia</v>
      </c>
      <c r="D120" s="9" t="str">
        <f ca="1">+WORLDCUP!BD67</f>
        <v>Argelia</v>
      </c>
      <c r="E120" s="9" t="str">
        <f ca="1">+WORLDCUP!BD59</f>
        <v>Suiza</v>
      </c>
      <c r="F120" s="9" t="str">
        <f ca="1">+WORLDCUP!BD61</f>
        <v>Paraguay</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Escocia</v>
      </c>
      <c r="D121" s="9" t="str">
        <f ca="1">+WORLDCUP!BD67</f>
        <v>Argelia</v>
      </c>
      <c r="E121" s="9" t="str">
        <f ca="1">+WORLDCUP!BD59</f>
        <v>Suiza</v>
      </c>
      <c r="F121" s="9" t="str">
        <f ca="1">+WORLDCUP!BD61</f>
        <v>Paraguay</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Escocia</v>
      </c>
      <c r="D122" s="9" t="str">
        <f ca="1">+WORLDCUP!BD64</f>
        <v>Irán</v>
      </c>
      <c r="E122" s="9" t="str">
        <f ca="1">+WORLDCUP!BD59</f>
        <v>Suiza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Escocia</v>
      </c>
      <c r="D123" s="9" t="str">
        <f ca="1">+WORLDCUP!BD64</f>
        <v>Irán</v>
      </c>
      <c r="E123" s="9" t="str">
        <f ca="1">+WORLDCUP!BD59</f>
        <v>Suiza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Escocia</v>
      </c>
      <c r="D124" s="9" t="str">
        <f ca="1">+WORLDCUP!BD64</f>
        <v>Irán</v>
      </c>
      <c r="E124" s="9" t="str">
        <f ca="1">+WORLDCUP!BD59</f>
        <v>Suiza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Escocia</v>
      </c>
      <c r="D125" s="9" t="str">
        <f ca="1">+WORLDCUP!BD64</f>
        <v>Irán</v>
      </c>
      <c r="E125" s="9" t="str">
        <f ca="1">+WORLDCUP!BD59</f>
        <v>Suiza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Escocia</v>
      </c>
      <c r="D126" s="9" t="str">
        <f ca="1">+WORLDCUP!BD64</f>
        <v>Irán</v>
      </c>
      <c r="E126" s="9" t="str">
        <f ca="1">+WORLDCUP!BD59</f>
        <v>Suiza</v>
      </c>
      <c r="F126" s="9" t="str">
        <f ca="1">+WORLDCUP!BD61</f>
        <v>Paraguay</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Escocia</v>
      </c>
      <c r="D127" s="9" t="str">
        <f ca="1">+WORLDCUP!BD64</f>
        <v>Irán</v>
      </c>
      <c r="E127" s="9" t="str">
        <f ca="1">+WORLDCUP!BD59</f>
        <v>Suiza</v>
      </c>
      <c r="F127" s="9" t="str">
        <f ca="1">+WORLDCUP!BD61</f>
        <v>Paraguay</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Arabia Saudita</v>
      </c>
      <c r="D128" s="9" t="str">
        <f ca="1">+WORLDCUP!BD64</f>
        <v>Irán</v>
      </c>
      <c r="E128" s="9" t="str">
        <f ca="1">+WORLDCUP!BD59</f>
        <v>Suiza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Escocia</v>
      </c>
      <c r="D129" s="9" t="str">
        <f ca="1">+WORLDCUP!BD64</f>
        <v>Irán</v>
      </c>
      <c r="E129" s="9" t="str">
        <f ca="1">+WORLDCUP!BD59</f>
        <v>Suiza</v>
      </c>
      <c r="F129" s="9" t="str">
        <f ca="1">+WORLDCUP!BD61</f>
        <v>Paraguay</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Escocia</v>
      </c>
      <c r="D130" s="9" t="str">
        <f ca="1">+WORLDCUP!BD64</f>
        <v>Irán</v>
      </c>
      <c r="E130" s="9" t="str">
        <f ca="1">+WORLDCUP!BD59</f>
        <v>Suiza</v>
      </c>
      <c r="F130" s="9" t="str">
        <f ca="1">+WORLDCUP!BD61</f>
        <v>Paraguay</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Arabia Saudita</v>
      </c>
      <c r="D131" s="9" t="str">
        <f ca="1">+WORLDCUP!BD64</f>
        <v>Irán</v>
      </c>
      <c r="E131" s="9" t="str">
        <f ca="1">+WORLDCUP!BD59</f>
        <v>Suiza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Costa de Marfil</v>
      </c>
      <c r="D132" s="9" t="str">
        <f ca="1">+WORLDCUP!BD67</f>
        <v>Argelia</v>
      </c>
      <c r="E132" s="9" t="str">
        <f ca="1">+WORLDCUP!BD59</f>
        <v>Suiza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Costa de Marfil</v>
      </c>
      <c r="D133" s="9" t="str">
        <f ca="1">+WORLDCUP!BD67</f>
        <v>Argelia</v>
      </c>
      <c r="E133" s="9" t="str">
        <f ca="1">+WORLDCUP!BD59</f>
        <v>Suiza</v>
      </c>
      <c r="F133" s="9" t="str">
        <f ca="1">+WORLDCUP!BD60</f>
        <v>Escocia</v>
      </c>
      <c r="G133" s="9" t="str">
        <f ca="1">+WORLDCUP!BD65</f>
        <v>Arabia Saudita</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Costa de Marfil</v>
      </c>
      <c r="D134" s="9" t="str">
        <f ca="1">+WORLDCUP!BD66</f>
        <v>Senegal</v>
      </c>
      <c r="E134" s="9" t="str">
        <f ca="1">+WORLDCUP!BD59</f>
        <v>Suiza</v>
      </c>
      <c r="F134" s="9" t="str">
        <f ca="1">+WORLDCUP!BD60</f>
        <v>Escocia</v>
      </c>
      <c r="G134" s="9" t="str">
        <f ca="1">+WORLDCUP!BD65</f>
        <v>Arabia Saudita</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Costa de Marfil</v>
      </c>
      <c r="D135" s="9" t="str">
        <f ca="1">+WORLDCUP!BD67</f>
        <v>Argelia</v>
      </c>
      <c r="E135" s="9" t="str">
        <f ca="1">+WORLDCUP!BD59</f>
        <v>Suiza</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Costa de Marfil</v>
      </c>
      <c r="D136" s="9" t="str">
        <f ca="1">+WORLDCUP!BD67</f>
        <v>Argelia</v>
      </c>
      <c r="E136" s="9" t="str">
        <f ca="1">+WORLDCUP!BD59</f>
        <v>Suiza</v>
      </c>
      <c r="F136" s="9" t="str">
        <f ca="1">+WORLDCUP!BD60</f>
        <v>Escocia</v>
      </c>
      <c r="G136" s="9" t="str">
        <f ca="1">+WORLDCUP!BD65</f>
        <v>Arabia Saudita</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Costa de Marfil</v>
      </c>
      <c r="D137" s="9" t="str">
        <f ca="1">+WORLDCUP!BD64</f>
        <v>Irán</v>
      </c>
      <c r="E137" s="9" t="str">
        <f ca="1">+WORLDCUP!BD59</f>
        <v>Suiza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Costa de Marfil</v>
      </c>
      <c r="D138" s="9" t="str">
        <f ca="1">+WORLDCUP!BD64</f>
        <v>Irán</v>
      </c>
      <c r="E138" s="9" t="str">
        <f ca="1">+WORLDCUP!BD59</f>
        <v>Suiza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Costa de Marfil</v>
      </c>
      <c r="D139" s="9" t="str">
        <f ca="1">+WORLDCUP!BD64</f>
        <v>Irán</v>
      </c>
      <c r="E139" s="9" t="str">
        <f ca="1">+WORLDCUP!BD59</f>
        <v>Suiza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Costa de Marfil</v>
      </c>
      <c r="D140" s="9" t="str">
        <f ca="1">+WORLDCUP!BD64</f>
        <v>Irán</v>
      </c>
      <c r="E140" s="9" t="str">
        <f ca="1">+WORLDCUP!BD59</f>
        <v>Suiza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Costa de Marfil</v>
      </c>
      <c r="D141" s="9" t="str">
        <f ca="1">+WORLDCUP!BD64</f>
        <v>Irán</v>
      </c>
      <c r="E141" s="9" t="str">
        <f ca="1">+WORLDCUP!BD59</f>
        <v>Suiza</v>
      </c>
      <c r="F141" s="9" t="str">
        <f ca="1">+WORLDCUP!BD60</f>
        <v>Escocia</v>
      </c>
      <c r="G141" s="9" t="str">
        <f ca="1">+WORLDCUP!BD65</f>
        <v>Arabia Saudita</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Arabia Saudita</v>
      </c>
      <c r="D142" s="9" t="str">
        <f ca="1">+WORLDCUP!BD64</f>
        <v>Irán</v>
      </c>
      <c r="E142" s="9" t="str">
        <f ca="1">+WORLDCUP!BD59</f>
        <v>Suiza</v>
      </c>
      <c r="F142" s="9" t="str">
        <f ca="1">+WORLDCUP!BD60</f>
        <v>Escocia</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Arabia Saudita</v>
      </c>
      <c r="D143" s="9" t="str">
        <f ca="1">+WORLDCUP!BD64</f>
        <v>Irán</v>
      </c>
      <c r="E143" s="9" t="str">
        <f ca="1">+WORLDCUP!BD59</f>
        <v>Suiza</v>
      </c>
      <c r="F143" s="9" t="str">
        <f ca="1">+WORLDCUP!BD60</f>
        <v>Escocia</v>
      </c>
      <c r="G143" s="9" t="str">
        <f ca="1">+WORLDCUP!BD67</f>
        <v>Argelia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Costa de Marfil</v>
      </c>
      <c r="D144" s="9" t="str">
        <f ca="1">+WORLDCUP!BD64</f>
        <v>Irán</v>
      </c>
      <c r="E144" s="9" t="str">
        <f ca="1">+WORLDCUP!BD59</f>
        <v>Suiza</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Costa de Marfil</v>
      </c>
      <c r="D145" s="9" t="str">
        <f ca="1">+WORLDCUP!BD64</f>
        <v>Irán</v>
      </c>
      <c r="E145" s="9" t="str">
        <f ca="1">+WORLDCUP!BD59</f>
        <v>Suiza</v>
      </c>
      <c r="F145" s="9" t="str">
        <f ca="1">+WORLDCUP!BD60</f>
        <v>Escocia</v>
      </c>
      <c r="G145" s="9" t="str">
        <f ca="1">+WORLDCUP!BD65</f>
        <v>Arabia Saudita</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Arabia Saudita</v>
      </c>
      <c r="D146" s="9" t="str">
        <f ca="1">+WORLDCUP!BD64</f>
        <v>Irán</v>
      </c>
      <c r="E146" s="9" t="str">
        <f ca="1">+WORLDCUP!BD59</f>
        <v>Suiza</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Escocia</v>
      </c>
      <c r="D147" s="9" t="str">
        <f ca="1">+WORLDCUP!BD67</f>
        <v>Argelia</v>
      </c>
      <c r="E147" s="9" t="str">
        <f ca="1">+WORLDCUP!BD59</f>
        <v>Suiza</v>
      </c>
      <c r="F147" s="9" t="str">
        <f ca="1">+WORLDCUP!BD61</f>
        <v>Paraguay</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Escocia</v>
      </c>
      <c r="D148" s="9" t="str">
        <f ca="1">+WORLDCUP!BD62</f>
        <v>Costa de Marfil</v>
      </c>
      <c r="E148" s="9" t="str">
        <f ca="1">+WORLDCUP!BD59</f>
        <v>Suiza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Escocia</v>
      </c>
      <c r="D149" s="9" t="str">
        <f ca="1">+WORLDCUP!BD67</f>
        <v>Argelia</v>
      </c>
      <c r="E149" s="9" t="str">
        <f ca="1">+WORLDCUP!BD59</f>
        <v>Suiza</v>
      </c>
      <c r="F149" s="9" t="str">
        <f ca="1">+WORLDCUP!BD61</f>
        <v>Paraguay</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Escocia</v>
      </c>
      <c r="D150" s="9" t="str">
        <f ca="1">+WORLDCUP!BD67</f>
        <v>Argelia</v>
      </c>
      <c r="E150" s="9" t="str">
        <f ca="1">+WORLDCUP!BD59</f>
        <v>Suiza</v>
      </c>
      <c r="F150" s="9" t="str">
        <f ca="1">+WORLDCUP!BD61</f>
        <v>Paraguay</v>
      </c>
      <c r="G150" s="9" t="str">
        <f ca="1">+WORLDCUP!BD62</f>
        <v>Costa de Marfil</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Escocia</v>
      </c>
      <c r="D151" s="9" t="str">
        <f ca="1">+WORLDCUP!BD62</f>
        <v>Costa de Marfil</v>
      </c>
      <c r="E151" s="9" t="str">
        <f ca="1">+WORLDCUP!BD59</f>
        <v>Suiza</v>
      </c>
      <c r="F151" s="9" t="str">
        <f ca="1">+WORLDCUP!BD61</f>
        <v>Paraguay</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1</v>
      </c>
      <c r="C152" s="9" t="str">
        <f ca="1">+WORLDCUP!BD60</f>
        <v>Escocia</v>
      </c>
      <c r="D152" s="9" t="str">
        <f ca="1">+WORLDCUP!BD67</f>
        <v>Argelia</v>
      </c>
      <c r="E152" s="9" t="str">
        <f ca="1">+WORLDCUP!BD59</f>
        <v>Suiza</v>
      </c>
      <c r="F152" s="9" t="str">
        <f ca="1">+WORLDCUP!BD61</f>
        <v>Paraguay</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Escocia</v>
      </c>
      <c r="D153" s="9" t="str">
        <f ca="1">+WORLDCUP!BD67</f>
        <v>Argelia</v>
      </c>
      <c r="E153" s="9" t="str">
        <f ca="1">+WORLDCUP!BD59</f>
        <v>Suiza</v>
      </c>
      <c r="F153" s="9" t="str">
        <f ca="1">+WORLDCUP!BD61</f>
        <v>Paraguay</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Escocia</v>
      </c>
      <c r="D154" s="9" t="str">
        <f ca="1">+WORLDCUP!BD62</f>
        <v>Costa de Marfil</v>
      </c>
      <c r="E154" s="9" t="str">
        <f ca="1">+WORLDCUP!BD59</f>
        <v>Suiza</v>
      </c>
      <c r="F154" s="9" t="str">
        <f ca="1">+WORLDCUP!BD61</f>
        <v>Paraguay</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Escocia</v>
      </c>
      <c r="D155" s="9" t="str">
        <f ca="1">+WORLDCUP!BD62</f>
        <v>Costa de Marfil</v>
      </c>
      <c r="E155" s="9" t="str">
        <f ca="1">+WORLDCUP!BD59</f>
        <v>Suiza</v>
      </c>
      <c r="F155" s="9" t="str">
        <f ca="1">+WORLDCUP!BD61</f>
        <v>Paraguay</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Escocia</v>
      </c>
      <c r="D156" s="9" t="str">
        <f ca="1">+WORLDCUP!BD67</f>
        <v>Argelia</v>
      </c>
      <c r="E156" s="9" t="str">
        <f ca="1">+WORLDCUP!BD59</f>
        <v>Suiza</v>
      </c>
      <c r="F156" s="9" t="str">
        <f ca="1">+WORLDCUP!BD61</f>
        <v>Paraguay</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Suiza</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Suiza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Suiza</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Suiza</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Suiza</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Suiza</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Suiza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Suiza</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Arabia Saudita</v>
      </c>
      <c r="D165" s="9" t="str">
        <f ca="1">+WORLDCUP!BD64</f>
        <v>Irán</v>
      </c>
      <c r="E165" s="9" t="str">
        <f ca="1">+WORLDCUP!BD59</f>
        <v>Suiza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Suiza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Costa de Marfil</v>
      </c>
      <c r="D171" s="9" t="str">
        <f ca="1">+WORLDCUP!BD64</f>
        <v>Irán</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Costa de Marfil</v>
      </c>
      <c r="D173" s="9" t="str">
        <f ca="1">+WORLDCUP!BD64</f>
        <v>Irán</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Costa de Marfil</v>
      </c>
      <c r="D174" s="9" t="str">
        <f ca="1">+WORLDCUP!BD64</f>
        <v>Irán</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Arabia Saudita</v>
      </c>
      <c r="D287" s="9" t="str">
        <f ca="1">+WORLDCUP!BD67</f>
        <v>Argelia</v>
      </c>
      <c r="E287" s="9" t="str">
        <f ca="1">+WORLDCUP!BD59</f>
        <v>Suiza</v>
      </c>
      <c r="F287" s="9" t="str">
        <f ca="1">+WORLDCUP!BD58</f>
        <v>República Checa</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Arabia Saudita</v>
      </c>
      <c r="D288" s="9" t="str">
        <f ca="1">+WORLDCUP!BD67</f>
        <v>Argelia</v>
      </c>
      <c r="E288" s="9" t="str">
        <f ca="1">+WORLDCUP!BD59</f>
        <v>Suiza</v>
      </c>
      <c r="F288" s="9" t="str">
        <f ca="1">+WORLDCUP!BD58</f>
        <v>República Checa</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Argelia</v>
      </c>
      <c r="E289" s="9" t="str">
        <f ca="1">+WORLDCUP!BD59</f>
        <v>Suiza</v>
      </c>
      <c r="F289" s="9" t="str">
        <f ca="1">+WORLDCUP!BD63</f>
        <v>Suecia</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Arabia Saudita</v>
      </c>
      <c r="D290" s="9" t="str">
        <f ca="1">+WORLDCUP!BD67</f>
        <v>Argelia</v>
      </c>
      <c r="E290" s="9" t="str">
        <f ca="1">+WORLDCUP!BD59</f>
        <v>Suiza</v>
      </c>
      <c r="F290" s="9" t="str">
        <f ca="1">+WORLDCUP!BD63</f>
        <v>Suecia</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Arabia Saudita</v>
      </c>
      <c r="D291" s="9" t="str">
        <f ca="1">+WORLDCUP!BD64</f>
        <v>Irán</v>
      </c>
      <c r="E291" s="9" t="str">
        <f ca="1">+WORLDCUP!BD59</f>
        <v>Suiza</v>
      </c>
      <c r="F291" s="9" t="str">
        <f ca="1">+WORLDCUP!BD58</f>
        <v>República Checa</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Arabia Saudita</v>
      </c>
      <c r="D292" s="9" t="str">
        <f ca="1">+WORLDCUP!BD67</f>
        <v>Argelia</v>
      </c>
      <c r="E292" s="9" t="str">
        <f ca="1">+WORLDCUP!BD59</f>
        <v>Suiza</v>
      </c>
      <c r="F292" s="9" t="str">
        <f ca="1">+WORLDCUP!BD63</f>
        <v>Suecia</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Arabia Saudita</v>
      </c>
      <c r="D293" s="9" t="str">
        <f ca="1">+WORLDCUP!BD67</f>
        <v>Argelia</v>
      </c>
      <c r="E293" s="9" t="str">
        <f ca="1">+WORLDCUP!BD59</f>
        <v>Suiza</v>
      </c>
      <c r="F293" s="9" t="str">
        <f ca="1">+WORLDCUP!BD63</f>
        <v>Suecia</v>
      </c>
      <c r="G293" s="9" t="str">
        <f ca="1">+WORLDCUP!BD58</f>
        <v>República Checa</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Costa de Marfil</v>
      </c>
      <c r="D294" s="9" t="str">
        <f ca="1">+WORLDCUP!BD67</f>
        <v>Argelia</v>
      </c>
      <c r="E294" s="9" t="str">
        <f ca="1">+WORLDCUP!BD59</f>
        <v>Suiza</v>
      </c>
      <c r="F294" s="9" t="str">
        <f ca="1">+WORLDCUP!BD58</f>
        <v>República Checa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Costa de Marfil</v>
      </c>
      <c r="D295" s="9" t="str">
        <f ca="1">+WORLDCUP!BD67</f>
        <v>Argelia</v>
      </c>
      <c r="E295" s="9" t="str">
        <f ca="1">+WORLDCUP!BD59</f>
        <v>Suiza</v>
      </c>
      <c r="F295" s="9" t="str">
        <f ca="1">+WORLDCUP!BD58</f>
        <v>República Checa</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Costa de Marfil</v>
      </c>
      <c r="D296" s="9" t="str">
        <f ca="1">+WORLDCUP!BD67</f>
        <v>Argelia</v>
      </c>
      <c r="E296" s="9" t="str">
        <f ca="1">+WORLDCUP!BD59</f>
        <v>Suiza</v>
      </c>
      <c r="F296" s="9" t="str">
        <f ca="1">+WORLDCUP!BD58</f>
        <v>República Checa</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Costa de Marfil</v>
      </c>
      <c r="D297" s="9" t="str">
        <f ca="1">+WORLDCUP!BD64</f>
        <v>Irán</v>
      </c>
      <c r="E297" s="9" t="str">
        <f ca="1">+WORLDCUP!BD59</f>
        <v>Suiza</v>
      </c>
      <c r="F297" s="9" t="str">
        <f ca="1">+WORLDCUP!BD58</f>
        <v>República Checa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Costa de Marfil</v>
      </c>
      <c r="D298" s="9" t="str">
        <f ca="1">+WORLDCUP!BD67</f>
        <v>Argelia</v>
      </c>
      <c r="E298" s="9" t="str">
        <f ca="1">+WORLDCUP!BD59</f>
        <v>Suiza</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Costa de Marfil</v>
      </c>
      <c r="D299" s="9" t="str">
        <f ca="1">+WORLDCUP!BD67</f>
        <v>Argelia</v>
      </c>
      <c r="E299" s="9" t="str">
        <f ca="1">+WORLDCUP!BD59</f>
        <v>Suiza</v>
      </c>
      <c r="F299" s="9" t="str">
        <f ca="1">+WORLDCUP!BD58</f>
        <v>República Checa</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Costa de Marfil</v>
      </c>
      <c r="D300" s="9" t="str">
        <f ca="1">+WORLDCUP!BD67</f>
        <v>Argelia</v>
      </c>
      <c r="E300" s="9" t="str">
        <f ca="1">+WORLDCUP!BD59</f>
        <v>Suiza</v>
      </c>
      <c r="F300" s="9" t="str">
        <f ca="1">+WORLDCUP!BD58</f>
        <v>República Checa</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Costa de Marfil</v>
      </c>
      <c r="D301" s="9" t="str">
        <f ca="1">+WORLDCUP!BD67</f>
        <v>Argelia</v>
      </c>
      <c r="E301" s="9" t="str">
        <f ca="1">+WORLDCUP!BD59</f>
        <v>Suiza</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Costa de Marfil</v>
      </c>
      <c r="D302" s="9" t="str">
        <f ca="1">+WORLDCUP!BD66</f>
        <v>Senegal</v>
      </c>
      <c r="E302" s="9" t="str">
        <f ca="1">+WORLDCUP!BD59</f>
        <v>Suiza</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Costa de Marfil</v>
      </c>
      <c r="D303" s="9" t="str">
        <f ca="1">+WORLDCUP!BD67</f>
        <v>Argelia</v>
      </c>
      <c r="E303" s="9" t="str">
        <f ca="1">+WORLDCUP!BD59</f>
        <v>Suiza</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Costa de Marfil</v>
      </c>
      <c r="D304" s="9" t="str">
        <f ca="1">+WORLDCUP!BD67</f>
        <v>Argelia</v>
      </c>
      <c r="E304" s="9" t="str">
        <f ca="1">+WORLDCUP!BD59</f>
        <v>Suiza</v>
      </c>
      <c r="F304" s="9" t="str">
        <f ca="1">+WORLDCUP!BD63</f>
        <v>Suecia</v>
      </c>
      <c r="G304" s="9" t="str">
        <f ca="1">+WORLDCUP!BD58</f>
        <v>República Checa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Costa de Marfil</v>
      </c>
      <c r="D305" s="9" t="str">
        <f ca="1">+WORLDCUP!BD67</f>
        <v>Argelia</v>
      </c>
      <c r="E305" s="9" t="str">
        <f ca="1">+WORLDCUP!BD59</f>
        <v>Suiza</v>
      </c>
      <c r="F305" s="9" t="str">
        <f ca="1">+WORLDCUP!BD63</f>
        <v>Suecia</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Costa de Marfil</v>
      </c>
      <c r="D306" s="9" t="str">
        <f ca="1">+WORLDCUP!BD64</f>
        <v>Irán</v>
      </c>
      <c r="E306" s="9" t="str">
        <f ca="1">+WORLDCUP!BD59</f>
        <v>Suiza</v>
      </c>
      <c r="F306" s="9" t="str">
        <f ca="1">+WORLDCUP!BD58</f>
        <v>República Checa</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Costa de Marfil</v>
      </c>
      <c r="D307" s="9" t="str">
        <f ca="1">+WORLDCUP!BD67</f>
        <v>Argelia</v>
      </c>
      <c r="E307" s="9" t="str">
        <f ca="1">+WORLDCUP!BD59</f>
        <v>Suiza</v>
      </c>
      <c r="F307" s="9" t="str">
        <f ca="1">+WORLDCUP!BD63</f>
        <v>Suecia</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Costa de Marfil</v>
      </c>
      <c r="D308" s="9" t="str">
        <f ca="1">+WORLDCUP!BD67</f>
        <v>Argelia</v>
      </c>
      <c r="E308" s="9" t="str">
        <f ca="1">+WORLDCUP!BD59</f>
        <v>Suiza</v>
      </c>
      <c r="F308" s="9" t="str">
        <f ca="1">+WORLDCUP!BD63</f>
        <v>Suecia</v>
      </c>
      <c r="G308" s="9" t="str">
        <f ca="1">+WORLDCUP!BD58</f>
        <v>República Checa</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Costa de Marfil</v>
      </c>
      <c r="D309" s="9" t="str">
        <f ca="1">+WORLDCUP!BD64</f>
        <v>Irán</v>
      </c>
      <c r="E309" s="9" t="str">
        <f ca="1">+WORLDCUP!BD59</f>
        <v>Suiza</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Arabia Saudita</v>
      </c>
      <c r="D310" s="9" t="str">
        <f ca="1">+WORLDCUP!BD67</f>
        <v>Argelia</v>
      </c>
      <c r="E310" s="9" t="str">
        <f ca="1">+WORLDCUP!BD59</f>
        <v>Suiza</v>
      </c>
      <c r="F310" s="9" t="str">
        <f ca="1">+WORLDCUP!BD63</f>
        <v>Suecia</v>
      </c>
      <c r="G310" s="9" t="str">
        <f ca="1">+WORLDCUP!BD58</f>
        <v>República Checa</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Arabia Saudita</v>
      </c>
      <c r="D311" s="9" t="str">
        <f ca="1">+WORLDCUP!BD67</f>
        <v>Argelia</v>
      </c>
      <c r="E311" s="9" t="str">
        <f ca="1">+WORLDCUP!BD59</f>
        <v>Suiza</v>
      </c>
      <c r="F311" s="9" t="str">
        <f ca="1">+WORLDCUP!BD63</f>
        <v>Suecia</v>
      </c>
      <c r="G311" s="9" t="str">
        <f ca="1">+WORLDCUP!BD58</f>
        <v>República Checa</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Costa de Marfil</v>
      </c>
      <c r="D312" s="9" t="str">
        <f ca="1">+WORLDCUP!BD64</f>
        <v>Irán</v>
      </c>
      <c r="E312" s="9" t="str">
        <f ca="1">+WORLDCUP!BD59</f>
        <v>Suiza</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Costa de Marfil</v>
      </c>
      <c r="D313" s="9" t="str">
        <f ca="1">+WORLDCUP!BD64</f>
        <v>Irán</v>
      </c>
      <c r="E313" s="9" t="str">
        <f ca="1">+WORLDCUP!BD59</f>
        <v>Suiza</v>
      </c>
      <c r="F313" s="9" t="str">
        <f ca="1">+WORLDCUP!BD63</f>
        <v>Suecia</v>
      </c>
      <c r="G313" s="9" t="str">
        <f ca="1">+WORLDCUP!BD58</f>
        <v>República Checa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Arabia Saudita</v>
      </c>
      <c r="D314" s="9" t="str">
        <f ca="1">+WORLDCUP!BD67</f>
        <v>Argelia</v>
      </c>
      <c r="E314" s="9" t="str">
        <f ca="1">+WORLDCUP!BD59</f>
        <v>Suiza</v>
      </c>
      <c r="F314" s="9" t="str">
        <f ca="1">+WORLDCUP!BD63</f>
        <v>Suecia</v>
      </c>
      <c r="G314" s="9" t="str">
        <f ca="1">+WORLDCUP!BD58</f>
        <v>República Checa</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Argelia</v>
      </c>
      <c r="E315" s="9" t="str">
        <f ca="1">+WORLDCUP!BD59</f>
        <v>Suiza</v>
      </c>
      <c r="F315" s="9" t="str">
        <f ca="1">+WORLDCUP!BD61</f>
        <v>Paraguay</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Argelia</v>
      </c>
      <c r="E316" s="9" t="str">
        <f ca="1">+WORLDCUP!BD59</f>
        <v>Suiza</v>
      </c>
      <c r="F316" s="9" t="str">
        <f ca="1">+WORLDCUP!BD61</f>
        <v>Paraguay</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Arabia Saudita</v>
      </c>
      <c r="D317" s="9" t="str">
        <f ca="1">+WORLDCUP!BD67</f>
        <v>Argelia</v>
      </c>
      <c r="E317" s="9" t="str">
        <f ca="1">+WORLDCUP!BD59</f>
        <v>Suiza</v>
      </c>
      <c r="F317" s="9" t="str">
        <f ca="1">+WORLDCUP!BD61</f>
        <v>Paraguay</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Irán</v>
      </c>
      <c r="E318" s="9" t="str">
        <f ca="1">+WORLDCUP!BD59</f>
        <v>Suiza</v>
      </c>
      <c r="F318" s="9" t="str">
        <f ca="1">+WORLDCUP!BD61</f>
        <v>Paraguay</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Arabia Saudita</v>
      </c>
      <c r="D319" s="9" t="str">
        <f ca="1">+WORLDCUP!BD67</f>
        <v>Argelia</v>
      </c>
      <c r="E319" s="9" t="str">
        <f ca="1">+WORLDCUP!BD59</f>
        <v>Suiza</v>
      </c>
      <c r="F319" s="9" t="str">
        <f ca="1">+WORLDCUP!BD61</f>
        <v>Paraguay</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Arabia Saudita</v>
      </c>
      <c r="D320" s="9" t="str">
        <f ca="1">+WORLDCUP!BD67</f>
        <v>Argelia</v>
      </c>
      <c r="E320" s="9" t="str">
        <f ca="1">+WORLDCUP!BD59</f>
        <v>Suiza</v>
      </c>
      <c r="F320" s="9" t="str">
        <f ca="1">+WORLDCUP!BD61</f>
        <v>Paraguay</v>
      </c>
      <c r="G320" s="9" t="str">
        <f ca="1">+WORLDCUP!BD58</f>
        <v>República Checa</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Argelia</v>
      </c>
      <c r="E321" s="9" t="str">
        <f ca="1">+WORLDCUP!BD59</f>
        <v>Suiza</v>
      </c>
      <c r="F321" s="9" t="str">
        <f ca="1">+WORLDCUP!BD61</f>
        <v>Paraguay</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Arabia Saudita</v>
      </c>
      <c r="D322" s="9" t="str">
        <f ca="1">+WORLDCUP!BD67</f>
        <v>Argelia</v>
      </c>
      <c r="E322" s="9" t="str">
        <f ca="1">+WORLDCUP!BD59</f>
        <v>Suiza</v>
      </c>
      <c r="F322" s="9" t="str">
        <f ca="1">+WORLDCUP!BD61</f>
        <v>Paraguay</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Arabia Saudita</v>
      </c>
      <c r="D323" s="9" t="str">
        <f ca="1">+WORLDCUP!BD66</f>
        <v>Senegal</v>
      </c>
      <c r="E323" s="9" t="str">
        <f ca="1">+WORLDCUP!BD59</f>
        <v>Suiza</v>
      </c>
      <c r="F323" s="9" t="str">
        <f ca="1">+WORLDCUP!BD61</f>
        <v>Paraguay</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Arabia Saudita</v>
      </c>
      <c r="D324" s="9" t="str">
        <f ca="1">+WORLDCUP!BD67</f>
        <v>Argelia</v>
      </c>
      <c r="E324" s="9" t="str">
        <f ca="1">+WORLDCUP!BD59</f>
        <v>Suiza</v>
      </c>
      <c r="F324" s="9" t="str">
        <f ca="1">+WORLDCUP!BD61</f>
        <v>Paraguay</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Arabia Saudita</v>
      </c>
      <c r="D325" s="9" t="str">
        <f ca="1">+WORLDCUP!BD67</f>
        <v>Argelia</v>
      </c>
      <c r="E325" s="9" t="str">
        <f ca="1">+WORLDCUP!BD59</f>
        <v>Suiza</v>
      </c>
      <c r="F325" s="9" t="str">
        <f ca="1">+WORLDCUP!BD61</f>
        <v>Paraguay</v>
      </c>
      <c r="G325" s="9" t="str">
        <f ca="1">+WORLDCUP!BD58</f>
        <v>República Checa</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Suecia</v>
      </c>
      <c r="D326" s="9" t="str">
        <f ca="1">+WORLDCUP!BD67</f>
        <v>Argelia</v>
      </c>
      <c r="E326" s="9" t="str">
        <f ca="1">+WORLDCUP!BD59</f>
        <v>Suiza</v>
      </c>
      <c r="F326" s="9" t="str">
        <f ca="1">+WORLDCUP!BD61</f>
        <v>Paraguay</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Irán</v>
      </c>
      <c r="E327" s="9" t="str">
        <f ca="1">+WORLDCUP!BD59</f>
        <v>Suiza</v>
      </c>
      <c r="F327" s="9" t="str">
        <f ca="1">+WORLDCUP!BD61</f>
        <v>Paraguay</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Suecia</v>
      </c>
      <c r="D328" s="9" t="str">
        <f ca="1">+WORLDCUP!BD67</f>
        <v>Argelia</v>
      </c>
      <c r="E328" s="9" t="str">
        <f ca="1">+WORLDCUP!BD59</f>
        <v>Suiza</v>
      </c>
      <c r="F328" s="9" t="str">
        <f ca="1">+WORLDCUP!BD61</f>
        <v>Paraguay</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Suecia</v>
      </c>
      <c r="D329" s="9" t="str">
        <f ca="1">+WORLDCUP!BD67</f>
        <v>Argelia</v>
      </c>
      <c r="E329" s="9" t="str">
        <f ca="1">+WORLDCUP!BD59</f>
        <v>Suiza</v>
      </c>
      <c r="F329" s="9" t="str">
        <f ca="1">+WORLDCUP!BD61</f>
        <v>Paraguay</v>
      </c>
      <c r="G329" s="9" t="str">
        <f ca="1">+WORLDCUP!BD58</f>
        <v>República Checa</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Arabia Saudita</v>
      </c>
      <c r="D330" s="9" t="str">
        <f ca="1">+WORLDCUP!BD64</f>
        <v>Irán</v>
      </c>
      <c r="E330" s="9" t="str">
        <f ca="1">+WORLDCUP!BD59</f>
        <v>Suiza</v>
      </c>
      <c r="F330" s="9" t="str">
        <f ca="1">+WORLDCUP!BD61</f>
        <v>Paraguay</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Arabia Saudita</v>
      </c>
      <c r="D331" s="9" t="str">
        <f ca="1">+WORLDCUP!BD64</f>
        <v>Irán</v>
      </c>
      <c r="E331" s="9" t="str">
        <f ca="1">+WORLDCUP!BD59</f>
        <v>Suiza</v>
      </c>
      <c r="F331" s="9" t="str">
        <f ca="1">+WORLDCUP!BD61</f>
        <v>Paraguay</v>
      </c>
      <c r="G331" s="9" t="str">
        <f ca="1">+WORLDCUP!BD58</f>
        <v>República Checa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Arabia Saudita</v>
      </c>
      <c r="D332" s="9" t="str">
        <f ca="1">+WORLDCUP!BD64</f>
        <v>Irán</v>
      </c>
      <c r="E332" s="9" t="str">
        <f ca="1">+WORLDCUP!BD59</f>
        <v>Suiza</v>
      </c>
      <c r="F332" s="9" t="str">
        <f ca="1">+WORLDCUP!BD61</f>
        <v>Paraguay</v>
      </c>
      <c r="G332" s="9" t="str">
        <f ca="1">+WORLDCUP!BD58</f>
        <v>República Checa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Arabia Saudita</v>
      </c>
      <c r="D333" s="9" t="str">
        <f ca="1">+WORLDCUP!BD64</f>
        <v>Irán</v>
      </c>
      <c r="E333" s="9" t="str">
        <f ca="1">+WORLDCUP!BD59</f>
        <v>Suiza</v>
      </c>
      <c r="F333" s="9" t="str">
        <f ca="1">+WORLDCUP!BD61</f>
        <v>Paraguay</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Arabia Saudita</v>
      </c>
      <c r="D334" s="9" t="str">
        <f ca="1">+WORLDCUP!BD64</f>
        <v>Irán</v>
      </c>
      <c r="E334" s="9" t="str">
        <f ca="1">+WORLDCUP!BD59</f>
        <v>Suiza</v>
      </c>
      <c r="F334" s="9" t="str">
        <f ca="1">+WORLDCUP!BD61</f>
        <v>Paraguay</v>
      </c>
      <c r="G334" s="9" t="str">
        <f ca="1">+WORLDCUP!BD58</f>
        <v>República Checa</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Arabia Saudita</v>
      </c>
      <c r="D335" s="9" t="str">
        <f ca="1">+WORLDCUP!BD64</f>
        <v>Irán</v>
      </c>
      <c r="E335" s="9" t="str">
        <f ca="1">+WORLDCUP!BD59</f>
        <v>Suiza</v>
      </c>
      <c r="F335" s="9" t="str">
        <f ca="1">+WORLDCUP!BD61</f>
        <v>Paraguay</v>
      </c>
      <c r="G335" s="9" t="str">
        <f ca="1">+WORLDCUP!BD58</f>
        <v>República Checa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Costa de Marfil</v>
      </c>
      <c r="D336" s="9" t="str">
        <f ca="1">+WORLDCUP!BD67</f>
        <v>Argelia</v>
      </c>
      <c r="E336" s="9" t="str">
        <f ca="1">+WORLDCUP!BD59</f>
        <v>Suiza</v>
      </c>
      <c r="F336" s="9" t="str">
        <f ca="1">+WORLDCUP!BD58</f>
        <v>República Checa</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Costa de Marfil</v>
      </c>
      <c r="D337" s="9" t="str">
        <f ca="1">+WORLDCUP!BD67</f>
        <v>Argelia</v>
      </c>
      <c r="E337" s="9" t="str">
        <f ca="1">+WORLDCUP!BD59</f>
        <v>Suiza</v>
      </c>
      <c r="F337" s="9" t="str">
        <f ca="1">+WORLDCUP!BD61</f>
        <v>Paraguay</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Costa de Marfil</v>
      </c>
      <c r="D338" s="9" t="str">
        <f ca="1">+WORLDCUP!BD66</f>
        <v>Senegal</v>
      </c>
      <c r="E338" s="9" t="str">
        <f ca="1">+WORLDCUP!BD59</f>
        <v>Suiza</v>
      </c>
      <c r="F338" s="9" t="str">
        <f ca="1">+WORLDCUP!BD61</f>
        <v>Paraguay</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Costa de Marfil</v>
      </c>
      <c r="D339" s="9" t="str">
        <f ca="1">+WORLDCUP!BD67</f>
        <v>Argelia</v>
      </c>
      <c r="E339" s="9" t="str">
        <f ca="1">+WORLDCUP!BD59</f>
        <v>Suiza</v>
      </c>
      <c r="F339" s="9" t="str">
        <f ca="1">+WORLDCUP!BD61</f>
        <v>Paraguay</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Costa de Marfil</v>
      </c>
      <c r="D340" s="9" t="str">
        <f ca="1">+WORLDCUP!BD67</f>
        <v>Argelia</v>
      </c>
      <c r="E340" s="9" t="str">
        <f ca="1">+WORLDCUP!BD59</f>
        <v>Suiza</v>
      </c>
      <c r="F340" s="9" t="str">
        <f ca="1">+WORLDCUP!BD61</f>
        <v>Paraguay</v>
      </c>
      <c r="G340" s="9" t="str">
        <f ca="1">+WORLDCUP!BD58</f>
        <v>República Checa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Costa de Marfil</v>
      </c>
      <c r="D341" s="9" t="str">
        <f ca="1">+WORLDCUP!BD67</f>
        <v>Argelia</v>
      </c>
      <c r="E341" s="9" t="str">
        <f ca="1">+WORLDCUP!BD59</f>
        <v>Suiza</v>
      </c>
      <c r="F341" s="9" t="str">
        <f ca="1">+WORLDCUP!BD61</f>
        <v>Paraguay</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Costa de Marfil</v>
      </c>
      <c r="D342" s="9" t="str">
        <f ca="1">+WORLDCUP!BD64</f>
        <v>Irán</v>
      </c>
      <c r="E342" s="9" t="str">
        <f ca="1">+WORLDCUP!BD59</f>
        <v>Suiza</v>
      </c>
      <c r="F342" s="9" t="str">
        <f ca="1">+WORLDCUP!BD58</f>
        <v>República Checa</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Costa de Marfil</v>
      </c>
      <c r="D343" s="9" t="str">
        <f ca="1">+WORLDCUP!BD67</f>
        <v>Argelia</v>
      </c>
      <c r="E343" s="9" t="str">
        <f ca="1">+WORLDCUP!BD59</f>
        <v>Suiza</v>
      </c>
      <c r="F343" s="9" t="str">
        <f ca="1">+WORLDCUP!BD61</f>
        <v>Paraguay</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Costa de Marfil</v>
      </c>
      <c r="D344" s="9" t="str">
        <f ca="1">+WORLDCUP!BD67</f>
        <v>Argelia</v>
      </c>
      <c r="E344" s="9" t="str">
        <f ca="1">+WORLDCUP!BD59</f>
        <v>Suiza</v>
      </c>
      <c r="F344" s="9" t="str">
        <f ca="1">+WORLDCUP!BD61</f>
        <v>Paraguay</v>
      </c>
      <c r="G344" s="9" t="str">
        <f ca="1">+WORLDCUP!BD58</f>
        <v>República Checa</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Costa de Marfil</v>
      </c>
      <c r="D345" s="9" t="str">
        <f ca="1">+WORLDCUP!BD64</f>
        <v>Irán</v>
      </c>
      <c r="E345" s="9" t="str">
        <f ca="1">+WORLDCUP!BD59</f>
        <v>Suiza</v>
      </c>
      <c r="F345" s="9" t="str">
        <f ca="1">+WORLDCUP!BD61</f>
        <v>Paraguay</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Arabia Saudita</v>
      </c>
      <c r="D346" s="9" t="str">
        <f ca="1">+WORLDCUP!BD67</f>
        <v>Argelia</v>
      </c>
      <c r="E346" s="9" t="str">
        <f ca="1">+WORLDCUP!BD59</f>
        <v>Suiza</v>
      </c>
      <c r="F346" s="9" t="str">
        <f ca="1">+WORLDCUP!BD61</f>
        <v>Paraguay</v>
      </c>
      <c r="G346" s="9" t="str">
        <f ca="1">+WORLDCUP!BD58</f>
        <v>República Checa</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Arabia Saudita</v>
      </c>
      <c r="D347" s="9" t="str">
        <f ca="1">+WORLDCUP!BD67</f>
        <v>Argelia</v>
      </c>
      <c r="E347" s="9" t="str">
        <f ca="1">+WORLDCUP!BD59</f>
        <v>Suiza</v>
      </c>
      <c r="F347" s="9" t="str">
        <f ca="1">+WORLDCUP!BD61</f>
        <v>Paraguay</v>
      </c>
      <c r="G347" s="9" t="str">
        <f ca="1">+WORLDCUP!BD58</f>
        <v>República Checa</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Costa de Marfil</v>
      </c>
      <c r="D348" s="9" t="str">
        <f ca="1">+WORLDCUP!BD64</f>
        <v>Irán</v>
      </c>
      <c r="E348" s="9" t="str">
        <f ca="1">+WORLDCUP!BD59</f>
        <v>Suiza</v>
      </c>
      <c r="F348" s="9" t="str">
        <f ca="1">+WORLDCUP!BD61</f>
        <v>Paraguay</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Costa de Marfil</v>
      </c>
      <c r="D349" s="9" t="str">
        <f ca="1">+WORLDCUP!BD64</f>
        <v>Irán</v>
      </c>
      <c r="E349" s="9" t="str">
        <f ca="1">+WORLDCUP!BD59</f>
        <v>Suiza</v>
      </c>
      <c r="F349" s="9" t="str">
        <f ca="1">+WORLDCUP!BD61</f>
        <v>Paraguay</v>
      </c>
      <c r="G349" s="9" t="str">
        <f ca="1">+WORLDCUP!BD58</f>
        <v>República Checa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Arabia Saudita</v>
      </c>
      <c r="D350" s="9" t="str">
        <f ca="1">+WORLDCUP!BD67</f>
        <v>Argelia</v>
      </c>
      <c r="E350" s="9" t="str">
        <f ca="1">+WORLDCUP!BD59</f>
        <v>Suiza</v>
      </c>
      <c r="F350" s="9" t="str">
        <f ca="1">+WORLDCUP!BD61</f>
        <v>Paraguay</v>
      </c>
      <c r="G350" s="9" t="str">
        <f ca="1">+WORLDCUP!BD58</f>
        <v>República Checa</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Costa de Marfil</v>
      </c>
      <c r="D351" s="9" t="str">
        <f ca="1">+WORLDCUP!BD67</f>
        <v>Argelia</v>
      </c>
      <c r="E351" s="9" t="str">
        <f ca="1">+WORLDCUP!BD59</f>
        <v>Suiza</v>
      </c>
      <c r="F351" s="9" t="str">
        <f ca="1">+WORLDCUP!BD61</f>
        <v>Paraguay</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Costa de Marfil</v>
      </c>
      <c r="D352" s="9" t="str">
        <f ca="1">+WORLDCUP!BD66</f>
        <v>Senegal</v>
      </c>
      <c r="E352" s="9" t="str">
        <f ca="1">+WORLDCUP!BD59</f>
        <v>Suiza</v>
      </c>
      <c r="F352" s="9" t="str">
        <f ca="1">+WORLDCUP!BD61</f>
        <v>Paraguay</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Costa de Marfil</v>
      </c>
      <c r="D353" s="9" t="str">
        <f ca="1">+WORLDCUP!BD67</f>
        <v>Argelia</v>
      </c>
      <c r="E353" s="9" t="str">
        <f ca="1">+WORLDCUP!BD59</f>
        <v>Suiza</v>
      </c>
      <c r="F353" s="9" t="str">
        <f ca="1">+WORLDCUP!BD61</f>
        <v>Paraguay</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Costa de Marfil</v>
      </c>
      <c r="D354" s="9" t="str">
        <f ca="1">+WORLDCUP!BD67</f>
        <v>Argelia</v>
      </c>
      <c r="E354" s="9" t="str">
        <f ca="1">+WORLDCUP!BD59</f>
        <v>Suiza</v>
      </c>
      <c r="F354" s="9" t="str">
        <f ca="1">+WORLDCUP!BD61</f>
        <v>Paraguay</v>
      </c>
      <c r="G354" s="9" t="str">
        <f ca="1">+WORLDCUP!BD58</f>
        <v>República Checa</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Arabia Saudita</v>
      </c>
      <c r="D355" s="9" t="str">
        <f ca="1">+WORLDCUP!BD62</f>
        <v>Costa de Marfil</v>
      </c>
      <c r="E355" s="9" t="str">
        <f ca="1">+WORLDCUP!BD59</f>
        <v>Suiza</v>
      </c>
      <c r="F355" s="9" t="str">
        <f ca="1">+WORLDCUP!BD61</f>
        <v>Paraguay</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Arabia Saudita</v>
      </c>
      <c r="D356" s="9" t="str">
        <f ca="1">+WORLDCUP!BD67</f>
        <v>Argelia</v>
      </c>
      <c r="E356" s="9" t="str">
        <f ca="1">+WORLDCUP!BD59</f>
        <v>Suiza</v>
      </c>
      <c r="F356" s="9" t="str">
        <f ca="1">+WORLDCUP!BD61</f>
        <v>Paraguay</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Arabia Saudita</v>
      </c>
      <c r="D357" s="9" t="str">
        <f ca="1">+WORLDCUP!BD67</f>
        <v>Argelia</v>
      </c>
      <c r="E357" s="9" t="str">
        <f ca="1">+WORLDCUP!BD59</f>
        <v>Suiza</v>
      </c>
      <c r="F357" s="9" t="str">
        <f ca="1">+WORLDCUP!BD61</f>
        <v>Paraguay</v>
      </c>
      <c r="G357" s="9" t="str">
        <f ca="1">+WORLDCUP!BD58</f>
        <v>República Checa</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Arabia Saudita</v>
      </c>
      <c r="D358" s="9" t="str">
        <f ca="1">+WORLDCUP!BD62</f>
        <v>Costa de Marfil</v>
      </c>
      <c r="E358" s="9" t="str">
        <f ca="1">+WORLDCUP!BD59</f>
        <v>Suiza</v>
      </c>
      <c r="F358" s="9" t="str">
        <f ca="1">+WORLDCUP!BD61</f>
        <v>Paraguay</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Arabia Saudita</v>
      </c>
      <c r="D359" s="9" t="str">
        <f ca="1">+WORLDCUP!BD62</f>
        <v>Costa de Marfil</v>
      </c>
      <c r="E359" s="9" t="str">
        <f ca="1">+WORLDCUP!BD59</f>
        <v>Suiza</v>
      </c>
      <c r="F359" s="9" t="str">
        <f ca="1">+WORLDCUP!BD61</f>
        <v>Paraguay</v>
      </c>
      <c r="G359" s="9" t="str">
        <f ca="1">+WORLDCUP!BD58</f>
        <v>República Checa</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Arabia Saudita</v>
      </c>
      <c r="D360" s="9" t="str">
        <f ca="1">+WORLDCUP!BD67</f>
        <v>Argelia</v>
      </c>
      <c r="E360" s="9" t="str">
        <f ca="1">+WORLDCUP!BD59</f>
        <v>Suiza</v>
      </c>
      <c r="F360" s="9" t="str">
        <f ca="1">+WORLDCUP!BD61</f>
        <v>Paraguay</v>
      </c>
      <c r="G360" s="9" t="str">
        <f ca="1">+WORLDCUP!BD58</f>
        <v>República Checa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Costa de Marfil</v>
      </c>
      <c r="D361" s="9" t="str">
        <f ca="1">+WORLDCUP!BD64</f>
        <v>Irán</v>
      </c>
      <c r="E361" s="9" t="str">
        <f ca="1">+WORLDCUP!BD59</f>
        <v>Suiza</v>
      </c>
      <c r="F361" s="9" t="str">
        <f ca="1">+WORLDCUP!BD61</f>
        <v>Paraguay</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Costa de Marfil</v>
      </c>
      <c r="D362" s="9" t="str">
        <f ca="1">+WORLDCUP!BD64</f>
        <v>Irán</v>
      </c>
      <c r="E362" s="9" t="str">
        <f ca="1">+WORLDCUP!BD59</f>
        <v>Suiza</v>
      </c>
      <c r="F362" s="9" t="str">
        <f ca="1">+WORLDCUP!BD61</f>
        <v>Paraguay</v>
      </c>
      <c r="G362" s="9" t="str">
        <f ca="1">+WORLDCUP!BD58</f>
        <v>República Checa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Costa de Marfil</v>
      </c>
      <c r="D363" s="9" t="str">
        <f ca="1">+WORLDCUP!BD64</f>
        <v>Irán</v>
      </c>
      <c r="E363" s="9" t="str">
        <f ca="1">+WORLDCUP!BD59</f>
        <v>Suiza</v>
      </c>
      <c r="F363" s="9" t="str">
        <f ca="1">+WORLDCUP!BD61</f>
        <v>Paraguay</v>
      </c>
      <c r="G363" s="9" t="str">
        <f ca="1">+WORLDCUP!BD58</f>
        <v>República Checa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Costa de Marfil</v>
      </c>
      <c r="D364" s="9" t="str">
        <f ca="1">+WORLDCUP!BD64</f>
        <v>Irán</v>
      </c>
      <c r="E364" s="9" t="str">
        <f ca="1">+WORLDCUP!BD59</f>
        <v>Suiza</v>
      </c>
      <c r="F364" s="9" t="str">
        <f ca="1">+WORLDCUP!BD61</f>
        <v>Paraguay</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Costa de Marfil</v>
      </c>
      <c r="D365" s="9" t="str">
        <f ca="1">+WORLDCUP!BD64</f>
        <v>Irán</v>
      </c>
      <c r="E365" s="9" t="str">
        <f ca="1">+WORLDCUP!BD59</f>
        <v>Suiza</v>
      </c>
      <c r="F365" s="9" t="str">
        <f ca="1">+WORLDCUP!BD61</f>
        <v>Paraguay</v>
      </c>
      <c r="G365" s="9" t="str">
        <f ca="1">+WORLDCUP!BD58</f>
        <v>República Checa</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Costa de Marfil</v>
      </c>
      <c r="D366" s="9" t="str">
        <f ca="1">+WORLDCUP!BD64</f>
        <v>Irán</v>
      </c>
      <c r="E366" s="9" t="str">
        <f ca="1">+WORLDCUP!BD59</f>
        <v>Suiza</v>
      </c>
      <c r="F366" s="9" t="str">
        <f ca="1">+WORLDCUP!BD61</f>
        <v>Paraguay</v>
      </c>
      <c r="G366" s="9" t="str">
        <f ca="1">+WORLDCUP!BD58</f>
        <v>República Checa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Arabia Saudita</v>
      </c>
      <c r="D367" s="9" t="str">
        <f ca="1">+WORLDCUP!BD64</f>
        <v>Irán</v>
      </c>
      <c r="E367" s="9" t="str">
        <f ca="1">+WORLDCUP!BD59</f>
        <v>Suiza</v>
      </c>
      <c r="F367" s="9" t="str">
        <f ca="1">+WORLDCUP!BD61</f>
        <v>Paraguay</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Arabia Saudita</v>
      </c>
      <c r="D368" s="9" t="str">
        <f ca="1">+WORLDCUP!BD64</f>
        <v>Irán</v>
      </c>
      <c r="E368" s="9" t="str">
        <f ca="1">+WORLDCUP!BD59</f>
        <v>Suiza</v>
      </c>
      <c r="F368" s="9" t="str">
        <f ca="1">+WORLDCUP!BD61</f>
        <v>Paraguay</v>
      </c>
      <c r="G368" s="9" t="str">
        <f ca="1">+WORLDCUP!BD58</f>
        <v>República Checa</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Arabia Saudita</v>
      </c>
      <c r="D369" s="9" t="str">
        <f ca="1">+WORLDCUP!BD64</f>
        <v>Irán</v>
      </c>
      <c r="E369" s="9" t="str">
        <f ca="1">+WORLDCUP!BD59</f>
        <v>Suiza</v>
      </c>
      <c r="F369" s="9" t="str">
        <f ca="1">+WORLDCUP!BD61</f>
        <v>Paraguay</v>
      </c>
      <c r="G369" s="9" t="str">
        <f ca="1">+WORLDCUP!BD58</f>
        <v>República Checa</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Arabia Saudita</v>
      </c>
      <c r="D370" s="9" t="str">
        <f ca="1">+WORLDCUP!BD64</f>
        <v>Irán</v>
      </c>
      <c r="E370" s="9" t="str">
        <f ca="1">+WORLDCUP!BD59</f>
        <v>Suiza</v>
      </c>
      <c r="F370" s="9" t="str">
        <f ca="1">+WORLDCUP!BD61</f>
        <v>Paraguay</v>
      </c>
      <c r="G370" s="9" t="str">
        <f ca="1">+WORLDCUP!BD58</f>
        <v>República Checa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Argelia</v>
      </c>
      <c r="E371" s="9" t="str">
        <f ca="1">+WORLDCUP!BD59</f>
        <v>Suiza</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Argelia</v>
      </c>
      <c r="E372" s="9" t="str">
        <f ca="1">+WORLDCUP!BD59</f>
        <v>Suiza</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Arabia Saudita</v>
      </c>
      <c r="D373" s="9" t="str">
        <f ca="1">+WORLDCUP!BD67</f>
        <v>Argelia</v>
      </c>
      <c r="E373" s="9" t="str">
        <f ca="1">+WORLDCUP!BD59</f>
        <v>Suiza</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Irán</v>
      </c>
      <c r="E374" s="9" t="str">
        <f ca="1">+WORLDCUP!BD59</f>
        <v>Suiza</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Arabia Saudita</v>
      </c>
      <c r="D375" s="9" t="str">
        <f ca="1">+WORLDCUP!BD67</f>
        <v>Argelia</v>
      </c>
      <c r="E375" s="9" t="str">
        <f ca="1">+WORLDCUP!BD59</f>
        <v>Suiza</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Arabia Saudita</v>
      </c>
      <c r="D376" s="9" t="str">
        <f ca="1">+WORLDCUP!BD67</f>
        <v>Argelia</v>
      </c>
      <c r="E376" s="9" t="str">
        <f ca="1">+WORLDCUP!BD59</f>
        <v>Suiza</v>
      </c>
      <c r="F376" s="9" t="str">
        <f ca="1">+WORLDCUP!BD60</f>
        <v>Escocia</v>
      </c>
      <c r="G376" s="9" t="str">
        <f ca="1">+WORLDCUP!BD58</f>
        <v>República Checa</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Argelia</v>
      </c>
      <c r="E377" s="9" t="str">
        <f ca="1">+WORLDCUP!BD59</f>
        <v>Suiza</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Arabia Saudita</v>
      </c>
      <c r="D378" s="9" t="str">
        <f ca="1">+WORLDCUP!BD67</f>
        <v>Argelia</v>
      </c>
      <c r="E378" s="9" t="str">
        <f ca="1">+WORLDCUP!BD59</f>
        <v>Suiza</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Arabia Saudita</v>
      </c>
      <c r="D379" s="9" t="str">
        <f ca="1">+WORLDCUP!BD66</f>
        <v>Senegal</v>
      </c>
      <c r="E379" s="9" t="str">
        <f ca="1">+WORLDCUP!BD59</f>
        <v>Suiza</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Arabia Saudita</v>
      </c>
      <c r="D380" s="9" t="str">
        <f ca="1">+WORLDCUP!BD67</f>
        <v>Argelia</v>
      </c>
      <c r="E380" s="9" t="str">
        <f ca="1">+WORLDCUP!BD59</f>
        <v>Suiza</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Arabia Saudita</v>
      </c>
      <c r="D381" s="9" t="str">
        <f ca="1">+WORLDCUP!BD67</f>
        <v>Argelia</v>
      </c>
      <c r="E381" s="9" t="str">
        <f ca="1">+WORLDCUP!BD59</f>
        <v>Suiza</v>
      </c>
      <c r="F381" s="9" t="str">
        <f ca="1">+WORLDCUP!BD60</f>
        <v>Escocia</v>
      </c>
      <c r="G381" s="9" t="str">
        <f ca="1">+WORLDCUP!BD58</f>
        <v>República Checa</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Escocia</v>
      </c>
      <c r="D382" s="9" t="str">
        <f ca="1">+WORLDCUP!BD67</f>
        <v>Argelia</v>
      </c>
      <c r="E382" s="9" t="str">
        <f ca="1">+WORLDCUP!BD59</f>
        <v>Suiza</v>
      </c>
      <c r="F382" s="9" t="str">
        <f ca="1">+WORLDCUP!BD63</f>
        <v>Suecia</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Irán</v>
      </c>
      <c r="E383" s="9" t="str">
        <f ca="1">+WORLDCUP!BD59</f>
        <v>Suiza</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Escocia</v>
      </c>
      <c r="D384" s="9" t="str">
        <f ca="1">+WORLDCUP!BD67</f>
        <v>Argelia</v>
      </c>
      <c r="E384" s="9" t="str">
        <f ca="1">+WORLDCUP!BD59</f>
        <v>Suiza</v>
      </c>
      <c r="F384" s="9" t="str">
        <f ca="1">+WORLDCUP!BD63</f>
        <v>Suecia</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Escocia</v>
      </c>
      <c r="D385" s="9" t="str">
        <f ca="1">+WORLDCUP!BD67</f>
        <v>Argelia</v>
      </c>
      <c r="E385" s="9" t="str">
        <f ca="1">+WORLDCUP!BD59</f>
        <v>Suiza</v>
      </c>
      <c r="F385" s="9" t="str">
        <f ca="1">+WORLDCUP!BD63</f>
        <v>Suecia</v>
      </c>
      <c r="G385" s="9" t="str">
        <f ca="1">+WORLDCUP!BD58</f>
        <v>República Checa</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Arabia Saudita</v>
      </c>
      <c r="D386" s="9" t="str">
        <f ca="1">+WORLDCUP!BD64</f>
        <v>Irán</v>
      </c>
      <c r="E386" s="9" t="str">
        <f ca="1">+WORLDCUP!BD59</f>
        <v>Suiza</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Arabia Saudita</v>
      </c>
      <c r="D387" s="9" t="str">
        <f ca="1">+WORLDCUP!BD64</f>
        <v>Irán</v>
      </c>
      <c r="E387" s="9" t="str">
        <f ca="1">+WORLDCUP!BD59</f>
        <v>Suiza</v>
      </c>
      <c r="F387" s="9" t="str">
        <f ca="1">+WORLDCUP!BD60</f>
        <v>Escocia</v>
      </c>
      <c r="G387" s="9" t="str">
        <f ca="1">+WORLDCUP!BD58</f>
        <v>República Checa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Arabia Saudita</v>
      </c>
      <c r="D388" s="9" t="str">
        <f ca="1">+WORLDCUP!BD64</f>
        <v>Irán</v>
      </c>
      <c r="E388" s="9" t="str">
        <f ca="1">+WORLDCUP!BD59</f>
        <v>Suiza</v>
      </c>
      <c r="F388" s="9" t="str">
        <f ca="1">+WORLDCUP!BD60</f>
        <v>Escocia</v>
      </c>
      <c r="G388" s="9" t="str">
        <f ca="1">+WORLDCUP!BD58</f>
        <v>República Checa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Arabia Saudita</v>
      </c>
      <c r="D389" s="9" t="str">
        <f ca="1">+WORLDCUP!BD64</f>
        <v>Irán</v>
      </c>
      <c r="E389" s="9" t="str">
        <f ca="1">+WORLDCUP!BD59</f>
        <v>Suiza</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Arabia Saudita</v>
      </c>
      <c r="D390" s="9" t="str">
        <f ca="1">+WORLDCUP!BD64</f>
        <v>Irán</v>
      </c>
      <c r="E390" s="9" t="str">
        <f ca="1">+WORLDCUP!BD59</f>
        <v>Suiza</v>
      </c>
      <c r="F390" s="9" t="str">
        <f ca="1">+WORLDCUP!BD60</f>
        <v>Escocia</v>
      </c>
      <c r="G390" s="9" t="str">
        <f ca="1">+WORLDCUP!BD58</f>
        <v>República Checa</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Arabia Saudita</v>
      </c>
      <c r="D391" s="9" t="str">
        <f ca="1">+WORLDCUP!BD64</f>
        <v>Irán</v>
      </c>
      <c r="E391" s="9" t="str">
        <f ca="1">+WORLDCUP!BD59</f>
        <v>Suiza</v>
      </c>
      <c r="F391" s="9" t="str">
        <f ca="1">+WORLDCUP!BD60</f>
        <v>Escocia</v>
      </c>
      <c r="G391" s="9" t="str">
        <f ca="1">+WORLDCUP!BD58</f>
        <v>República Checa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Costa de Marfil</v>
      </c>
      <c r="D392" s="9" t="str">
        <f ca="1">+WORLDCUP!BD67</f>
        <v>Argelia</v>
      </c>
      <c r="E392" s="9" t="str">
        <f ca="1">+WORLDCUP!BD59</f>
        <v>Suiza</v>
      </c>
      <c r="F392" s="9" t="str">
        <f ca="1">+WORLDCUP!BD58</f>
        <v>República Checa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Costa de Marfil</v>
      </c>
      <c r="D393" s="9" t="str">
        <f ca="1">+WORLDCUP!BD67</f>
        <v>Argelia</v>
      </c>
      <c r="E393" s="9" t="str">
        <f ca="1">+WORLDCUP!BD59</f>
        <v>Suiza</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Costa de Marfil</v>
      </c>
      <c r="D394" s="9" t="str">
        <f ca="1">+WORLDCUP!BD66</f>
        <v>Senegal</v>
      </c>
      <c r="E394" s="9" t="str">
        <f ca="1">+WORLDCUP!BD59</f>
        <v>Suiza</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Costa de Marfil</v>
      </c>
      <c r="D395" s="9" t="str">
        <f ca="1">+WORLDCUP!BD67</f>
        <v>Argelia</v>
      </c>
      <c r="E395" s="9" t="str">
        <f ca="1">+WORLDCUP!BD59</f>
        <v>Suiza</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Costa de Marfil</v>
      </c>
      <c r="D396" s="9" t="str">
        <f ca="1">+WORLDCUP!BD67</f>
        <v>Argelia</v>
      </c>
      <c r="E396" s="9" t="str">
        <f ca="1">+WORLDCUP!BD59</f>
        <v>Suiza</v>
      </c>
      <c r="F396" s="9" t="str">
        <f ca="1">+WORLDCUP!BD60</f>
        <v>Escocia</v>
      </c>
      <c r="G396" s="9" t="str">
        <f ca="1">+WORLDCUP!BD58</f>
        <v>República Checa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Costa de Marfil</v>
      </c>
      <c r="D397" s="9" t="str">
        <f ca="1">+WORLDCUP!BD67</f>
        <v>Argelia</v>
      </c>
      <c r="E397" s="9" t="str">
        <f ca="1">+WORLDCUP!BD59</f>
        <v>Suiza</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Costa de Marfil</v>
      </c>
      <c r="D398" s="9" t="str">
        <f ca="1">+WORLDCUP!BD64</f>
        <v>Irán</v>
      </c>
      <c r="E398" s="9" t="str">
        <f ca="1">+WORLDCUP!BD59</f>
        <v>Suiza</v>
      </c>
      <c r="F398" s="9" t="str">
        <f ca="1">+WORLDCUP!BD58</f>
        <v>República Checa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Costa de Marfil</v>
      </c>
      <c r="D399" s="9" t="str">
        <f ca="1">+WORLDCUP!BD67</f>
        <v>Argelia</v>
      </c>
      <c r="E399" s="9" t="str">
        <f ca="1">+WORLDCUP!BD59</f>
        <v>Suiza</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Costa de Marfil</v>
      </c>
      <c r="D400" s="9" t="str">
        <f ca="1">+WORLDCUP!BD67</f>
        <v>Argelia</v>
      </c>
      <c r="E400" s="9" t="str">
        <f ca="1">+WORLDCUP!BD59</f>
        <v>Suiza</v>
      </c>
      <c r="F400" s="9" t="str">
        <f ca="1">+WORLDCUP!BD60</f>
        <v>Escocia</v>
      </c>
      <c r="G400" s="9" t="str">
        <f ca="1">+WORLDCUP!BD58</f>
        <v>República Checa</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Costa de Marfil</v>
      </c>
      <c r="D401" s="9" t="str">
        <f ca="1">+WORLDCUP!BD64</f>
        <v>Irán</v>
      </c>
      <c r="E401" s="9" t="str">
        <f ca="1">+WORLDCUP!BD59</f>
        <v>Suiza</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Arabia Saudita</v>
      </c>
      <c r="D402" s="9" t="str">
        <f ca="1">+WORLDCUP!BD67</f>
        <v>Argelia</v>
      </c>
      <c r="E402" s="9" t="str">
        <f ca="1">+WORLDCUP!BD59</f>
        <v>Suiza</v>
      </c>
      <c r="F402" s="9" t="str">
        <f ca="1">+WORLDCUP!BD60</f>
        <v>Escocia</v>
      </c>
      <c r="G402" s="9" t="str">
        <f ca="1">+WORLDCUP!BD58</f>
        <v>República Checa</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Arabia Saudita</v>
      </c>
      <c r="D403" s="9" t="str">
        <f ca="1">+WORLDCUP!BD67</f>
        <v>Argelia</v>
      </c>
      <c r="E403" s="9" t="str">
        <f ca="1">+WORLDCUP!BD59</f>
        <v>Suiza</v>
      </c>
      <c r="F403" s="9" t="str">
        <f ca="1">+WORLDCUP!BD60</f>
        <v>Escocia</v>
      </c>
      <c r="G403" s="9" t="str">
        <f ca="1">+WORLDCUP!BD58</f>
        <v>República Checa</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Costa de Marfil</v>
      </c>
      <c r="D404" s="9" t="str">
        <f ca="1">+WORLDCUP!BD64</f>
        <v>Irán</v>
      </c>
      <c r="E404" s="9" t="str">
        <f ca="1">+WORLDCUP!BD59</f>
        <v>Suiza</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Costa de Marfil</v>
      </c>
      <c r="D405" s="9" t="str">
        <f ca="1">+WORLDCUP!BD64</f>
        <v>Irán</v>
      </c>
      <c r="E405" s="9" t="str">
        <f ca="1">+WORLDCUP!BD59</f>
        <v>Suiza</v>
      </c>
      <c r="F405" s="9" t="str">
        <f ca="1">+WORLDCUP!BD60</f>
        <v>Escocia</v>
      </c>
      <c r="G405" s="9" t="str">
        <f ca="1">+WORLDCUP!BD58</f>
        <v>República Checa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Arabia Saudita</v>
      </c>
      <c r="D406" s="9" t="str">
        <f ca="1">+WORLDCUP!BD67</f>
        <v>Argelia</v>
      </c>
      <c r="E406" s="9" t="str">
        <f ca="1">+WORLDCUP!BD59</f>
        <v>Suiza</v>
      </c>
      <c r="F406" s="9" t="str">
        <f ca="1">+WORLDCUP!BD60</f>
        <v>Escocia</v>
      </c>
      <c r="G406" s="9" t="str">
        <f ca="1">+WORLDCUP!BD58</f>
        <v>República Checa</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Costa de Marfil</v>
      </c>
      <c r="D407" s="9" t="str">
        <f ca="1">+WORLDCUP!BD67</f>
        <v>Argelia</v>
      </c>
      <c r="E407" s="9" t="str">
        <f ca="1">+WORLDCUP!BD59</f>
        <v>Suiza</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Costa de Marfil</v>
      </c>
      <c r="D408" s="9" t="str">
        <f ca="1">+WORLDCUP!BD66</f>
        <v>Senegal</v>
      </c>
      <c r="E408" s="9" t="str">
        <f ca="1">+WORLDCUP!BD59</f>
        <v>Suiza</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Costa de Marfil</v>
      </c>
      <c r="D409" s="9" t="str">
        <f ca="1">+WORLDCUP!BD67</f>
        <v>Argelia</v>
      </c>
      <c r="E409" s="9" t="str">
        <f ca="1">+WORLDCUP!BD59</f>
        <v>Suiza</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Costa de Marfil</v>
      </c>
      <c r="D410" s="9" t="str">
        <f ca="1">+WORLDCUP!BD67</f>
        <v>Argelia</v>
      </c>
      <c r="E410" s="9" t="str">
        <f ca="1">+WORLDCUP!BD59</f>
        <v>Suiza</v>
      </c>
      <c r="F410" s="9" t="str">
        <f ca="1">+WORLDCUP!BD60</f>
        <v>Escocia</v>
      </c>
      <c r="G410" s="9" t="str">
        <f ca="1">+WORLDCUP!BD58</f>
        <v>República Checa</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Arabia Saudita</v>
      </c>
      <c r="D411" s="9" t="str">
        <f ca="1">+WORLDCUP!BD62</f>
        <v>Costa de Marfil</v>
      </c>
      <c r="E411" s="9" t="str">
        <f ca="1">+WORLDCUP!BD59</f>
        <v>Suiza</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Arabia Saudita</v>
      </c>
      <c r="D412" s="9" t="str">
        <f ca="1">+WORLDCUP!BD67</f>
        <v>Argelia</v>
      </c>
      <c r="E412" s="9" t="str">
        <f ca="1">+WORLDCUP!BD59</f>
        <v>Suiza</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Arabia Saudita</v>
      </c>
      <c r="D413" s="9" t="str">
        <f ca="1">+WORLDCUP!BD67</f>
        <v>Argelia</v>
      </c>
      <c r="E413" s="9" t="str">
        <f ca="1">+WORLDCUP!BD59</f>
        <v>Suiza</v>
      </c>
      <c r="F413" s="9" t="str">
        <f ca="1">+WORLDCUP!BD60</f>
        <v>Escocia</v>
      </c>
      <c r="G413" s="9" t="str">
        <f ca="1">+WORLDCUP!BD58</f>
        <v>República Checa</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Arabia Saudita</v>
      </c>
      <c r="D414" s="9" t="str">
        <f ca="1">+WORLDCUP!BD62</f>
        <v>Costa de Marfil</v>
      </c>
      <c r="E414" s="9" t="str">
        <f ca="1">+WORLDCUP!BD59</f>
        <v>Suiza</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Arabia Saudita</v>
      </c>
      <c r="D415" s="9" t="str">
        <f ca="1">+WORLDCUP!BD62</f>
        <v>Costa de Marfil</v>
      </c>
      <c r="E415" s="9" t="str">
        <f ca="1">+WORLDCUP!BD59</f>
        <v>Suiza</v>
      </c>
      <c r="F415" s="9" t="str">
        <f ca="1">+WORLDCUP!BD60</f>
        <v>Escocia</v>
      </c>
      <c r="G415" s="9" t="str">
        <f ca="1">+WORLDCUP!BD58</f>
        <v>República Checa</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Arabia Saudita</v>
      </c>
      <c r="D416" s="9" t="str">
        <f ca="1">+WORLDCUP!BD67</f>
        <v>Argelia</v>
      </c>
      <c r="E416" s="9" t="str">
        <f ca="1">+WORLDCUP!BD59</f>
        <v>Suiza</v>
      </c>
      <c r="F416" s="9" t="str">
        <f ca="1">+WORLDCUP!BD60</f>
        <v>Escocia</v>
      </c>
      <c r="G416" s="9" t="str">
        <f ca="1">+WORLDCUP!BD58</f>
        <v>República Checa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Costa de Marfil</v>
      </c>
      <c r="D417" s="9" t="str">
        <f ca="1">+WORLDCUP!BD64</f>
        <v>Irán</v>
      </c>
      <c r="E417" s="9" t="str">
        <f ca="1">+WORLDCUP!BD59</f>
        <v>Suiza</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Costa de Marfil</v>
      </c>
      <c r="D418" s="9" t="str">
        <f ca="1">+WORLDCUP!BD64</f>
        <v>Irán</v>
      </c>
      <c r="E418" s="9" t="str">
        <f ca="1">+WORLDCUP!BD59</f>
        <v>Suiza</v>
      </c>
      <c r="F418" s="9" t="str">
        <f ca="1">+WORLDCUP!BD60</f>
        <v>Escocia</v>
      </c>
      <c r="G418" s="9" t="str">
        <f ca="1">+WORLDCUP!BD58</f>
        <v>República Checa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Costa de Marfil</v>
      </c>
      <c r="D419" s="9" t="str">
        <f ca="1">+WORLDCUP!BD64</f>
        <v>Irán</v>
      </c>
      <c r="E419" s="9" t="str">
        <f ca="1">+WORLDCUP!BD59</f>
        <v>Suiza</v>
      </c>
      <c r="F419" s="9" t="str">
        <f ca="1">+WORLDCUP!BD60</f>
        <v>Escocia</v>
      </c>
      <c r="G419" s="9" t="str">
        <f ca="1">+WORLDCUP!BD58</f>
        <v>República Checa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Costa de Marfil</v>
      </c>
      <c r="D420" s="9" t="str">
        <f ca="1">+WORLDCUP!BD64</f>
        <v>Irán</v>
      </c>
      <c r="E420" s="9" t="str">
        <f ca="1">+WORLDCUP!BD59</f>
        <v>Suiza</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Costa de Marfil</v>
      </c>
      <c r="D421" s="9" t="str">
        <f ca="1">+WORLDCUP!BD64</f>
        <v>Irán</v>
      </c>
      <c r="E421" s="9" t="str">
        <f ca="1">+WORLDCUP!BD59</f>
        <v>Suiza</v>
      </c>
      <c r="F421" s="9" t="str">
        <f ca="1">+WORLDCUP!BD60</f>
        <v>Escocia</v>
      </c>
      <c r="G421" s="9" t="str">
        <f ca="1">+WORLDCUP!BD58</f>
        <v>República Checa</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Costa de Marfil</v>
      </c>
      <c r="D422" s="9" t="str">
        <f ca="1">+WORLDCUP!BD64</f>
        <v>Irán</v>
      </c>
      <c r="E422" s="9" t="str">
        <f ca="1">+WORLDCUP!BD59</f>
        <v>Suiza</v>
      </c>
      <c r="F422" s="9" t="str">
        <f ca="1">+WORLDCUP!BD60</f>
        <v>Escocia</v>
      </c>
      <c r="G422" s="9" t="str">
        <f ca="1">+WORLDCUP!BD58</f>
        <v>República Checa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Arabia Saudita</v>
      </c>
      <c r="D423" s="9" t="str">
        <f ca="1">+WORLDCUP!BD64</f>
        <v>Irán</v>
      </c>
      <c r="E423" s="9" t="str">
        <f ca="1">+WORLDCUP!BD59</f>
        <v>Suiza</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Arabia Saudita</v>
      </c>
      <c r="D424" s="9" t="str">
        <f ca="1">+WORLDCUP!BD64</f>
        <v>Irán</v>
      </c>
      <c r="E424" s="9" t="str">
        <f ca="1">+WORLDCUP!BD59</f>
        <v>Suiza</v>
      </c>
      <c r="F424" s="9" t="str">
        <f ca="1">+WORLDCUP!BD60</f>
        <v>Escocia</v>
      </c>
      <c r="G424" s="9" t="str">
        <f ca="1">+WORLDCUP!BD58</f>
        <v>República Checa</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Arabia Saudita</v>
      </c>
      <c r="D425" s="9" t="str">
        <f ca="1">+WORLDCUP!BD64</f>
        <v>Irán</v>
      </c>
      <c r="E425" s="9" t="str">
        <f ca="1">+WORLDCUP!BD59</f>
        <v>Suiza</v>
      </c>
      <c r="F425" s="9" t="str">
        <f ca="1">+WORLDCUP!BD60</f>
        <v>Escocia</v>
      </c>
      <c r="G425" s="9" t="str">
        <f ca="1">+WORLDCUP!BD58</f>
        <v>República Checa</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Arabia Saudita</v>
      </c>
      <c r="D426" s="9" t="str">
        <f ca="1">+WORLDCUP!BD64</f>
        <v>Irán</v>
      </c>
      <c r="E426" s="9" t="str">
        <f ca="1">+WORLDCUP!BD59</f>
        <v>Suiza</v>
      </c>
      <c r="F426" s="9" t="str">
        <f ca="1">+WORLDCUP!BD60</f>
        <v>Escocia</v>
      </c>
      <c r="G426" s="9" t="str">
        <f ca="1">+WORLDCUP!BD58</f>
        <v>República Checa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Argelia</v>
      </c>
      <c r="E427" s="9" t="str">
        <f ca="1">+WORLDCUP!BD59</f>
        <v>Suiza</v>
      </c>
      <c r="F427" s="9" t="str">
        <f ca="1">+WORLDCUP!BD60</f>
        <v>Escocia</v>
      </c>
      <c r="G427" s="9" t="str">
        <f ca="1">+WORLDCUP!BD58</f>
        <v>República Checa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Arabia Saudita</v>
      </c>
      <c r="D428" s="9" t="str">
        <f ca="1">+WORLDCUP!BD67</f>
        <v>Argelia</v>
      </c>
      <c r="E428" s="9" t="str">
        <f ca="1">+WORLDCUP!BD59</f>
        <v>Suiza</v>
      </c>
      <c r="F428" s="9" t="str">
        <f ca="1">+WORLDCUP!BD60</f>
        <v>Escocia</v>
      </c>
      <c r="G428" s="9" t="str">
        <f ca="1">+WORLDCUP!BD58</f>
        <v>República Checa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Arabia Saudita</v>
      </c>
      <c r="D429" s="9" t="str">
        <f ca="1">+WORLDCUP!BD66</f>
        <v>Senegal</v>
      </c>
      <c r="E429" s="9" t="str">
        <f ca="1">+WORLDCUP!BD59</f>
        <v>Suiza</v>
      </c>
      <c r="F429" s="9" t="str">
        <f ca="1">+WORLDCUP!BD60</f>
        <v>Escocia</v>
      </c>
      <c r="G429" s="9" t="str">
        <f ca="1">+WORLDCUP!BD58</f>
        <v>República Checa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Arabia Saudita</v>
      </c>
      <c r="D430" s="9" t="str">
        <f ca="1">+WORLDCUP!BD67</f>
        <v>Argelia</v>
      </c>
      <c r="E430" s="9" t="str">
        <f ca="1">+WORLDCUP!BD59</f>
        <v>Suiza</v>
      </c>
      <c r="F430" s="9" t="str">
        <f ca="1">+WORLDCUP!BD60</f>
        <v>Escocia</v>
      </c>
      <c r="G430" s="9" t="str">
        <f ca="1">+WORLDCUP!BD58</f>
        <v>República Checa</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Arabia Saudita</v>
      </c>
      <c r="D431" s="9" t="str">
        <f ca="1">+WORLDCUP!BD67</f>
        <v>Argelia</v>
      </c>
      <c r="E431" s="9" t="str">
        <f ca="1">+WORLDCUP!BD59</f>
        <v>Suiza</v>
      </c>
      <c r="F431" s="9" t="str">
        <f ca="1">+WORLDCUP!BD60</f>
        <v>Escocia</v>
      </c>
      <c r="G431" s="9" t="str">
        <f ca="1">+WORLDCUP!BD58</f>
        <v>República Checa</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Escocia</v>
      </c>
      <c r="D432" s="9" t="str">
        <f ca="1">+WORLDCUP!BD67</f>
        <v>Argelia</v>
      </c>
      <c r="E432" s="9" t="str">
        <f ca="1">+WORLDCUP!BD59</f>
        <v>Suiza</v>
      </c>
      <c r="F432" s="9" t="str">
        <f ca="1">+WORLDCUP!BD61</f>
        <v>Paraguay</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Irán</v>
      </c>
      <c r="E433" s="9" t="str">
        <f ca="1">+WORLDCUP!BD59</f>
        <v>Suiza</v>
      </c>
      <c r="F433" s="9" t="str">
        <f ca="1">+WORLDCUP!BD60</f>
        <v>Escocia</v>
      </c>
      <c r="G433" s="9" t="str">
        <f ca="1">+WORLDCUP!BD58</f>
        <v>República Checa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Escocia</v>
      </c>
      <c r="D434" s="9" t="str">
        <f ca="1">+WORLDCUP!BD67</f>
        <v>Argelia</v>
      </c>
      <c r="E434" s="9" t="str">
        <f ca="1">+WORLDCUP!BD59</f>
        <v>Suiza</v>
      </c>
      <c r="F434" s="9" t="str">
        <f ca="1">+WORLDCUP!BD61</f>
        <v>Paraguay</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Escocia</v>
      </c>
      <c r="D435" s="9" t="str">
        <f ca="1">+WORLDCUP!BD67</f>
        <v>Argelia</v>
      </c>
      <c r="E435" s="9" t="str">
        <f ca="1">+WORLDCUP!BD59</f>
        <v>Suiza</v>
      </c>
      <c r="F435" s="9" t="str">
        <f ca="1">+WORLDCUP!BD61</f>
        <v>Paraguay</v>
      </c>
      <c r="G435" s="9" t="str">
        <f ca="1">+WORLDCUP!BD58</f>
        <v>República Checa</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Arabia Saudita</v>
      </c>
      <c r="D436" s="9" t="str">
        <f ca="1">+WORLDCUP!BD64</f>
        <v>Irán</v>
      </c>
      <c r="E436" s="9" t="str">
        <f ca="1">+WORLDCUP!BD59</f>
        <v>Suiza</v>
      </c>
      <c r="F436" s="9" t="str">
        <f ca="1">+WORLDCUP!BD60</f>
        <v>Escocia</v>
      </c>
      <c r="G436" s="9" t="str">
        <f ca="1">+WORLDCUP!BD58</f>
        <v>República Checa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Arabia Saudita</v>
      </c>
      <c r="D437" s="9" t="str">
        <f ca="1">+WORLDCUP!BD64</f>
        <v>Irán</v>
      </c>
      <c r="E437" s="9" t="str">
        <f ca="1">+WORLDCUP!BD59</f>
        <v>Suiza</v>
      </c>
      <c r="F437" s="9" t="str">
        <f ca="1">+WORLDCUP!BD60</f>
        <v>Escocia</v>
      </c>
      <c r="G437" s="9" t="str">
        <f ca="1">+WORLDCUP!BD58</f>
        <v>República Checa</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Arabia Saudita</v>
      </c>
      <c r="D438" s="9" t="str">
        <f ca="1">+WORLDCUP!BD64</f>
        <v>Irán</v>
      </c>
      <c r="E438" s="9" t="str">
        <f ca="1">+WORLDCUP!BD59</f>
        <v>Suiza</v>
      </c>
      <c r="F438" s="9" t="str">
        <f ca="1">+WORLDCUP!BD60</f>
        <v>Escocia</v>
      </c>
      <c r="G438" s="9" t="str">
        <f ca="1">+WORLDCUP!BD58</f>
        <v>República Checa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Arabia Saudita</v>
      </c>
      <c r="D439" s="9" t="str">
        <f ca="1">+WORLDCUP!BD64</f>
        <v>Irán</v>
      </c>
      <c r="E439" s="9" t="str">
        <f ca="1">+WORLDCUP!BD59</f>
        <v>Suiza</v>
      </c>
      <c r="F439" s="9" t="str">
        <f ca="1">+WORLDCUP!BD60</f>
        <v>Escocia</v>
      </c>
      <c r="G439" s="9" t="str">
        <f ca="1">+WORLDCUP!BD58</f>
        <v>República Checa</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Arabia Saudita</v>
      </c>
      <c r="D440" s="9" t="str">
        <f ca="1">+WORLDCUP!BD64</f>
        <v>Irán</v>
      </c>
      <c r="E440" s="9" t="str">
        <f ca="1">+WORLDCUP!BD59</f>
        <v>Suiza</v>
      </c>
      <c r="F440" s="9" t="str">
        <f ca="1">+WORLDCUP!BD60</f>
        <v>Escocia</v>
      </c>
      <c r="G440" s="9" t="str">
        <f ca="1">+WORLDCUP!BD58</f>
        <v>República Checa</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Arabia Saudita</v>
      </c>
      <c r="D441" s="9" t="str">
        <f ca="1">+WORLDCUP!BD64</f>
        <v>Irán</v>
      </c>
      <c r="E441" s="9" t="str">
        <f ca="1">+WORLDCUP!BD59</f>
        <v>Suiza</v>
      </c>
      <c r="F441" s="9" t="str">
        <f ca="1">+WORLDCUP!BD60</f>
        <v>Escocia</v>
      </c>
      <c r="G441" s="9" t="str">
        <f ca="1">+WORLDCUP!BD58</f>
        <v>República Checa</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Escocia</v>
      </c>
      <c r="D442" s="9" t="str">
        <f ca="1">+WORLDCUP!BD67</f>
        <v>Argelia</v>
      </c>
      <c r="E442" s="9" t="str">
        <f ca="1">+WORLDCUP!BD59</f>
        <v>Suiza</v>
      </c>
      <c r="F442" s="9" t="str">
        <f ca="1">+WORLDCUP!BD61</f>
        <v>Paraguay</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Escocia</v>
      </c>
      <c r="D443" s="9" t="str">
        <f ca="1">+WORLDCUP!BD66</f>
        <v>Senegal</v>
      </c>
      <c r="E443" s="9" t="str">
        <f ca="1">+WORLDCUP!BD59</f>
        <v>Suiza</v>
      </c>
      <c r="F443" s="9" t="str">
        <f ca="1">+WORLDCUP!BD61</f>
        <v>Paraguay</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Escocia</v>
      </c>
      <c r="D444" s="9" t="str">
        <f ca="1">+WORLDCUP!BD67</f>
        <v>Argelia</v>
      </c>
      <c r="E444" s="9" t="str">
        <f ca="1">+WORLDCUP!BD59</f>
        <v>Suiza</v>
      </c>
      <c r="F444" s="9" t="str">
        <f ca="1">+WORLDCUP!BD61</f>
        <v>Paraguay</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Escocia</v>
      </c>
      <c r="D445" s="9" t="str">
        <f ca="1">+WORLDCUP!BD67</f>
        <v>Argelia</v>
      </c>
      <c r="E445" s="9" t="str">
        <f ca="1">+WORLDCUP!BD59</f>
        <v>Suiza</v>
      </c>
      <c r="F445" s="9" t="str">
        <f ca="1">+WORLDCUP!BD61</f>
        <v>Paraguay</v>
      </c>
      <c r="G445" s="9" t="str">
        <f ca="1">+WORLDCUP!BD58</f>
        <v>República Checa</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Arabia Saudita</v>
      </c>
      <c r="D446" s="9" t="str">
        <f ca="1">+WORLDCUP!BD63</f>
        <v>Suecia</v>
      </c>
      <c r="E446" s="9" t="str">
        <f ca="1">+WORLDCUP!BD59</f>
        <v>Suiza</v>
      </c>
      <c r="F446" s="9" t="str">
        <f ca="1">+WORLDCUP!BD60</f>
        <v>Escocia</v>
      </c>
      <c r="G446" s="9" t="str">
        <f ca="1">+WORLDCUP!BD58</f>
        <v>República Checa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Escocia</v>
      </c>
      <c r="D447" s="9" t="str">
        <f ca="1">+WORLDCUP!BD67</f>
        <v>Argelia</v>
      </c>
      <c r="E447" s="9" t="str">
        <f ca="1">+WORLDCUP!BD59</f>
        <v>Suiza</v>
      </c>
      <c r="F447" s="9" t="str">
        <f ca="1">+WORLDCUP!BD61</f>
        <v>Paraguay</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Arabia Saudita</v>
      </c>
      <c r="D448" s="9" t="str">
        <f ca="1">+WORLDCUP!BD67</f>
        <v>Argelia</v>
      </c>
      <c r="E448" s="9" t="str">
        <f ca="1">+WORLDCUP!BD59</f>
        <v>Suiza</v>
      </c>
      <c r="F448" s="9" t="str">
        <f ca="1">+WORLDCUP!BD60</f>
        <v>Escocia</v>
      </c>
      <c r="G448" s="9" t="str">
        <f ca="1">+WORLDCUP!BD58</f>
        <v>República Checa</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Arabia Saudita</v>
      </c>
      <c r="D449" s="9" t="str">
        <f ca="1">+WORLDCUP!BD63</f>
        <v>Suecia</v>
      </c>
      <c r="E449" s="9" t="str">
        <f ca="1">+WORLDCUP!BD59</f>
        <v>Suiza</v>
      </c>
      <c r="F449" s="9" t="str">
        <f ca="1">+WORLDCUP!BD60</f>
        <v>Escocia</v>
      </c>
      <c r="G449" s="9" t="str">
        <f ca="1">+WORLDCUP!BD58</f>
        <v>República Checa</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Arabia Saudita</v>
      </c>
      <c r="D450" s="9" t="str">
        <f ca="1">+WORLDCUP!BD63</f>
        <v>Suecia</v>
      </c>
      <c r="E450" s="9" t="str">
        <f ca="1">+WORLDCUP!BD59</f>
        <v>Suiza</v>
      </c>
      <c r="F450" s="9" t="str">
        <f ca="1">+WORLDCUP!BD60</f>
        <v>Escocia</v>
      </c>
      <c r="G450" s="9" t="str">
        <f ca="1">+WORLDCUP!BD58</f>
        <v>República Checa</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Arabia Saudita</v>
      </c>
      <c r="D451" s="9" t="str">
        <f ca="1">+WORLDCUP!BD67</f>
        <v>Argelia</v>
      </c>
      <c r="E451" s="9" t="str">
        <f ca="1">+WORLDCUP!BD59</f>
        <v>Suiza</v>
      </c>
      <c r="F451" s="9" t="str">
        <f ca="1">+WORLDCUP!BD60</f>
        <v>Escocia</v>
      </c>
      <c r="G451" s="9" t="str">
        <f ca="1">+WORLDCUP!BD58</f>
        <v>República Checa</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Escocia</v>
      </c>
      <c r="D452" s="9" t="str">
        <f ca="1">+WORLDCUP!BD64</f>
        <v>Irán</v>
      </c>
      <c r="E452" s="9" t="str">
        <f ca="1">+WORLDCUP!BD59</f>
        <v>Suiza</v>
      </c>
      <c r="F452" s="9" t="str">
        <f ca="1">+WORLDCUP!BD61</f>
        <v>Paraguay</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Escocia</v>
      </c>
      <c r="D453" s="9" t="str">
        <f ca="1">+WORLDCUP!BD64</f>
        <v>Irán</v>
      </c>
      <c r="E453" s="9" t="str">
        <f ca="1">+WORLDCUP!BD59</f>
        <v>Suiza</v>
      </c>
      <c r="F453" s="9" t="str">
        <f ca="1">+WORLDCUP!BD61</f>
        <v>Paraguay</v>
      </c>
      <c r="G453" s="9" t="str">
        <f ca="1">+WORLDCUP!BD58</f>
        <v>República Checa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Escocia</v>
      </c>
      <c r="D454" s="9" t="str">
        <f ca="1">+WORLDCUP!BD64</f>
        <v>Irán</v>
      </c>
      <c r="E454" s="9" t="str">
        <f ca="1">+WORLDCUP!BD59</f>
        <v>Suiza</v>
      </c>
      <c r="F454" s="9" t="str">
        <f ca="1">+WORLDCUP!BD61</f>
        <v>Paraguay</v>
      </c>
      <c r="G454" s="9" t="str">
        <f ca="1">+WORLDCUP!BD58</f>
        <v>República Checa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Escocia</v>
      </c>
      <c r="D455" s="9" t="str">
        <f ca="1">+WORLDCUP!BD64</f>
        <v>Irán</v>
      </c>
      <c r="E455" s="9" t="str">
        <f ca="1">+WORLDCUP!BD59</f>
        <v>Suiza</v>
      </c>
      <c r="F455" s="9" t="str">
        <f ca="1">+WORLDCUP!BD61</f>
        <v>Paraguay</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Escocia</v>
      </c>
      <c r="D456" s="9" t="str">
        <f ca="1">+WORLDCUP!BD64</f>
        <v>Irán</v>
      </c>
      <c r="E456" s="9" t="str">
        <f ca="1">+WORLDCUP!BD59</f>
        <v>Suiza</v>
      </c>
      <c r="F456" s="9" t="str">
        <f ca="1">+WORLDCUP!BD61</f>
        <v>Paraguay</v>
      </c>
      <c r="G456" s="9" t="str">
        <f ca="1">+WORLDCUP!BD58</f>
        <v>República Checa</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Escocia</v>
      </c>
      <c r="D457" s="9" t="str">
        <f ca="1">+WORLDCUP!BD64</f>
        <v>Irán</v>
      </c>
      <c r="E457" s="9" t="str">
        <f ca="1">+WORLDCUP!BD59</f>
        <v>Suiza</v>
      </c>
      <c r="F457" s="9" t="str">
        <f ca="1">+WORLDCUP!BD61</f>
        <v>Paraguay</v>
      </c>
      <c r="G457" s="9" t="str">
        <f ca="1">+WORLDCUP!BD58</f>
        <v>República Checa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Escocia</v>
      </c>
      <c r="D458" s="9" t="str">
        <f ca="1">+WORLDCUP!BD64</f>
        <v>Irán</v>
      </c>
      <c r="E458" s="9" t="str">
        <f ca="1">+WORLDCUP!BD59</f>
        <v>Suiza</v>
      </c>
      <c r="F458" s="9" t="str">
        <f ca="1">+WORLDCUP!BD61</f>
        <v>Paraguay</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Arabia Saudita</v>
      </c>
      <c r="D459" s="9" t="str">
        <f ca="1">+WORLDCUP!BD64</f>
        <v>Irán</v>
      </c>
      <c r="E459" s="9" t="str">
        <f ca="1">+WORLDCUP!BD59</f>
        <v>Suiza</v>
      </c>
      <c r="F459" s="9" t="str">
        <f ca="1">+WORLDCUP!BD60</f>
        <v>Escocia</v>
      </c>
      <c r="G459" s="9" t="str">
        <f ca="1">+WORLDCUP!BD58</f>
        <v>República Checa</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Arabia Saudita</v>
      </c>
      <c r="D460" s="9" t="str">
        <f ca="1">+WORLDCUP!BD64</f>
        <v>Irán</v>
      </c>
      <c r="E460" s="9" t="str">
        <f ca="1">+WORLDCUP!BD59</f>
        <v>Suiza</v>
      </c>
      <c r="F460" s="9" t="str">
        <f ca="1">+WORLDCUP!BD60</f>
        <v>Escocia</v>
      </c>
      <c r="G460" s="9" t="str">
        <f ca="1">+WORLDCUP!BD58</f>
        <v>República Checa</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Arabia Saudita</v>
      </c>
      <c r="D461" s="9" t="str">
        <f ca="1">+WORLDCUP!BD64</f>
        <v>Irán</v>
      </c>
      <c r="E461" s="9" t="str">
        <f ca="1">+WORLDCUP!BD59</f>
        <v>Suiza</v>
      </c>
      <c r="F461" s="9" t="str">
        <f ca="1">+WORLDCUP!BD60</f>
        <v>Escocia</v>
      </c>
      <c r="G461" s="9" t="str">
        <f ca="1">+WORLDCUP!BD58</f>
        <v>República Checa</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Costa de Marfil</v>
      </c>
      <c r="D462" s="9" t="str">
        <f ca="1">+WORLDCUP!BD67</f>
        <v>Argelia</v>
      </c>
      <c r="E462" s="9" t="str">
        <f ca="1">+WORLDCUP!BD59</f>
        <v>Suiza</v>
      </c>
      <c r="F462" s="9" t="str">
        <f ca="1">+WORLDCUP!BD60</f>
        <v>Escocia</v>
      </c>
      <c r="G462" s="9" t="str">
        <f ca="1">+WORLDCUP!BD58</f>
        <v>República Checa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Costa de Marfil</v>
      </c>
      <c r="D463" s="9" t="str">
        <f ca="1">+WORLDCUP!BD66</f>
        <v>Senegal</v>
      </c>
      <c r="E463" s="9" t="str">
        <f ca="1">+WORLDCUP!BD59</f>
        <v>Suiza</v>
      </c>
      <c r="F463" s="9" t="str">
        <f ca="1">+WORLDCUP!BD60</f>
        <v>Escocia</v>
      </c>
      <c r="G463" s="9" t="str">
        <f ca="1">+WORLDCUP!BD58</f>
        <v>República Checa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Costa de Marfil</v>
      </c>
      <c r="D464" s="9" t="str">
        <f ca="1">+WORLDCUP!BD67</f>
        <v>Argelia</v>
      </c>
      <c r="E464" s="9" t="str">
        <f ca="1">+WORLDCUP!BD59</f>
        <v>Suiza</v>
      </c>
      <c r="F464" s="9" t="str">
        <f ca="1">+WORLDCUP!BD60</f>
        <v>Escocia</v>
      </c>
      <c r="G464" s="9" t="str">
        <f ca="1">+WORLDCUP!BD58</f>
        <v>República Checa</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Costa de Marfil</v>
      </c>
      <c r="D465" s="9" t="str">
        <f ca="1">+WORLDCUP!BD67</f>
        <v>Argelia</v>
      </c>
      <c r="E465" s="9" t="str">
        <f ca="1">+WORLDCUP!BD59</f>
        <v>Suiza</v>
      </c>
      <c r="F465" s="9" t="str">
        <f ca="1">+WORLDCUP!BD60</f>
        <v>Escocia</v>
      </c>
      <c r="G465" s="9" t="str">
        <f ca="1">+WORLDCUP!BD58</f>
        <v>República Checa</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Arabia Saudita</v>
      </c>
      <c r="D466" s="9" t="str">
        <f ca="1">+WORLDCUP!BD62</f>
        <v>Costa de Marfil</v>
      </c>
      <c r="E466" s="9" t="str">
        <f ca="1">+WORLDCUP!BD59</f>
        <v>Suiza</v>
      </c>
      <c r="F466" s="9" t="str">
        <f ca="1">+WORLDCUP!BD60</f>
        <v>Escocia</v>
      </c>
      <c r="G466" s="9" t="str">
        <f ca="1">+WORLDCUP!BD58</f>
        <v>República Checa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Arabia Saudita</v>
      </c>
      <c r="D467" s="9" t="str">
        <f ca="1">+WORLDCUP!BD67</f>
        <v>Argelia</v>
      </c>
      <c r="E467" s="9" t="str">
        <f ca="1">+WORLDCUP!BD59</f>
        <v>Suiza</v>
      </c>
      <c r="F467" s="9" t="str">
        <f ca="1">+WORLDCUP!BD60</f>
        <v>Escocia</v>
      </c>
      <c r="G467" s="9" t="str">
        <f ca="1">+WORLDCUP!BD58</f>
        <v>República Checa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Arabia Saudita</v>
      </c>
      <c r="D468" s="9" t="str">
        <f ca="1">+WORLDCUP!BD67</f>
        <v>Argelia</v>
      </c>
      <c r="E468" s="9" t="str">
        <f ca="1">+WORLDCUP!BD59</f>
        <v>Suiza</v>
      </c>
      <c r="F468" s="9" t="str">
        <f ca="1">+WORLDCUP!BD60</f>
        <v>Escocia</v>
      </c>
      <c r="G468" s="9" t="str">
        <f ca="1">+WORLDCUP!BD58</f>
        <v>República Checa</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Arabia Saudita</v>
      </c>
      <c r="D469" s="9" t="str">
        <f ca="1">+WORLDCUP!BD62</f>
        <v>Costa de Marfil</v>
      </c>
      <c r="E469" s="9" t="str">
        <f ca="1">+WORLDCUP!BD59</f>
        <v>Suiza</v>
      </c>
      <c r="F469" s="9" t="str">
        <f ca="1">+WORLDCUP!BD60</f>
        <v>Escocia</v>
      </c>
      <c r="G469" s="9" t="str">
        <f ca="1">+WORLDCUP!BD58</f>
        <v>República Checa</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Arabia Saudita</v>
      </c>
      <c r="D470" s="9" t="str">
        <f ca="1">+WORLDCUP!BD62</f>
        <v>Costa de Marfil</v>
      </c>
      <c r="E470" s="9" t="str">
        <f ca="1">+WORLDCUP!BD59</f>
        <v>Suiza</v>
      </c>
      <c r="F470" s="9" t="str">
        <f ca="1">+WORLDCUP!BD60</f>
        <v>Escocia</v>
      </c>
      <c r="G470" s="9" t="str">
        <f ca="1">+WORLDCUP!BD58</f>
        <v>República Checa</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Arabia Saudita</v>
      </c>
      <c r="D471" s="9" t="str">
        <f ca="1">+WORLDCUP!BD67</f>
        <v>Argelia</v>
      </c>
      <c r="E471" s="9" t="str">
        <f ca="1">+WORLDCUP!BD59</f>
        <v>Suiza</v>
      </c>
      <c r="F471" s="9" t="str">
        <f ca="1">+WORLDCUP!BD60</f>
        <v>Escocia</v>
      </c>
      <c r="G471" s="9" t="str">
        <f ca="1">+WORLDCUP!BD58</f>
        <v>República Checa</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Costa de Marfil</v>
      </c>
      <c r="D472" s="9" t="str">
        <f ca="1">+WORLDCUP!BD64</f>
        <v>Irán</v>
      </c>
      <c r="E472" s="9" t="str">
        <f ca="1">+WORLDCUP!BD59</f>
        <v>Suiza</v>
      </c>
      <c r="F472" s="9" t="str">
        <f ca="1">+WORLDCUP!BD60</f>
        <v>Escocia</v>
      </c>
      <c r="G472" s="9" t="str">
        <f ca="1">+WORLDCUP!BD58</f>
        <v>República Checa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Costa de Marfil</v>
      </c>
      <c r="D473" s="9" t="str">
        <f ca="1">+WORLDCUP!BD64</f>
        <v>Irán</v>
      </c>
      <c r="E473" s="9" t="str">
        <f ca="1">+WORLDCUP!BD59</f>
        <v>Suiza</v>
      </c>
      <c r="F473" s="9" t="str">
        <f ca="1">+WORLDCUP!BD60</f>
        <v>Escocia</v>
      </c>
      <c r="G473" s="9" t="str">
        <f ca="1">+WORLDCUP!BD58</f>
        <v>República Checa</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Costa de Marfil</v>
      </c>
      <c r="D474" s="9" t="str">
        <f ca="1">+WORLDCUP!BD64</f>
        <v>Irán</v>
      </c>
      <c r="E474" s="9" t="str">
        <f ca="1">+WORLDCUP!BD59</f>
        <v>Suiza</v>
      </c>
      <c r="F474" s="9" t="str">
        <f ca="1">+WORLDCUP!BD60</f>
        <v>Escocia</v>
      </c>
      <c r="G474" s="9" t="str">
        <f ca="1">+WORLDCUP!BD58</f>
        <v>República Checa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Costa de Marfil</v>
      </c>
      <c r="D475" s="9" t="str">
        <f ca="1">+WORLDCUP!BD64</f>
        <v>Irán</v>
      </c>
      <c r="E475" s="9" t="str">
        <f ca="1">+WORLDCUP!BD59</f>
        <v>Suiza</v>
      </c>
      <c r="F475" s="9" t="str">
        <f ca="1">+WORLDCUP!BD60</f>
        <v>Escocia</v>
      </c>
      <c r="G475" s="9" t="str">
        <f ca="1">+WORLDCUP!BD58</f>
        <v>República Checa</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Costa de Marfil</v>
      </c>
      <c r="D476" s="9" t="str">
        <f ca="1">+WORLDCUP!BD64</f>
        <v>Irán</v>
      </c>
      <c r="E476" s="9" t="str">
        <f ca="1">+WORLDCUP!BD59</f>
        <v>Suiza</v>
      </c>
      <c r="F476" s="9" t="str">
        <f ca="1">+WORLDCUP!BD60</f>
        <v>Escocia</v>
      </c>
      <c r="G476" s="9" t="str">
        <f ca="1">+WORLDCUP!BD58</f>
        <v>República Checa</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Costa de Marfil</v>
      </c>
      <c r="D477" s="9" t="str">
        <f ca="1">+WORLDCUP!BD64</f>
        <v>Irán</v>
      </c>
      <c r="E477" s="9" t="str">
        <f ca="1">+WORLDCUP!BD59</f>
        <v>Suiza</v>
      </c>
      <c r="F477" s="9" t="str">
        <f ca="1">+WORLDCUP!BD60</f>
        <v>Escocia</v>
      </c>
      <c r="G477" s="9" t="str">
        <f ca="1">+WORLDCUP!BD58</f>
        <v>República Checa</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Arabia Saudita</v>
      </c>
      <c r="D478" s="9" t="str">
        <f ca="1">+WORLDCUP!BD64</f>
        <v>Irán</v>
      </c>
      <c r="E478" s="9" t="str">
        <f ca="1">+WORLDCUP!BD59</f>
        <v>Suiza</v>
      </c>
      <c r="F478" s="9" t="str">
        <f ca="1">+WORLDCUP!BD60</f>
        <v>Escocia</v>
      </c>
      <c r="G478" s="9" t="str">
        <f ca="1">+WORLDCUP!BD58</f>
        <v>República Checa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Arabia Saudita</v>
      </c>
      <c r="D479" s="9" t="str">
        <f ca="1">+WORLDCUP!BD64</f>
        <v>Irán</v>
      </c>
      <c r="E479" s="9" t="str">
        <f ca="1">+WORLDCUP!BD59</f>
        <v>Suiza</v>
      </c>
      <c r="F479" s="9" t="str">
        <f ca="1">+WORLDCUP!BD60</f>
        <v>Escocia</v>
      </c>
      <c r="G479" s="9" t="str">
        <f ca="1">+WORLDCUP!BD58</f>
        <v>República Checa</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Arabia Saudita</v>
      </c>
      <c r="D480" s="9" t="str">
        <f ca="1">+WORLDCUP!BD64</f>
        <v>Irán</v>
      </c>
      <c r="E480" s="9" t="str">
        <f ca="1">+WORLDCUP!BD59</f>
        <v>Suiza</v>
      </c>
      <c r="F480" s="9" t="str">
        <f ca="1">+WORLDCUP!BD60</f>
        <v>Escocia</v>
      </c>
      <c r="G480" s="9" t="str">
        <f ca="1">+WORLDCUP!BD58</f>
        <v>República Checa</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Arabia Saudita</v>
      </c>
      <c r="D481" s="9" t="str">
        <f ca="1">+WORLDCUP!BD64</f>
        <v>Irán</v>
      </c>
      <c r="E481" s="9" t="str">
        <f ca="1">+WORLDCUP!BD59</f>
        <v>Suiza</v>
      </c>
      <c r="F481" s="9" t="str">
        <f ca="1">+WORLDCUP!BD60</f>
        <v>Escocia</v>
      </c>
      <c r="G481" s="9" t="str">
        <f ca="1">+WORLDCUP!BD58</f>
        <v>República Checa</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Costa de Marfil</v>
      </c>
      <c r="E482" s="9" t="str">
        <f ca="1">+WORLDCUP!BD59</f>
        <v>Suiza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Suiza</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Suiza</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Costa de Marfil</v>
      </c>
      <c r="E485" s="9" t="str">
        <f ca="1">+WORLDCUP!BD59</f>
        <v>Suiza</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Costa de Marfil</v>
      </c>
      <c r="E486" s="9" t="str">
        <f ca="1">+WORLDCUP!BD59</f>
        <v>Suiza</v>
      </c>
      <c r="F486" s="9" t="str">
        <f ca="1">+WORLDCUP!BD61</f>
        <v>Paraguay</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Suiza</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Arabia Saudita</v>
      </c>
      <c r="D488" s="9" t="str">
        <f ca="1">+WORLDCUP!BD63</f>
        <v>Suecia</v>
      </c>
      <c r="E488" s="9" t="str">
        <f ca="1">+WORLDCUP!BD59</f>
        <v>Suiza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Arabia Saudita</v>
      </c>
      <c r="D489" s="9" t="str">
        <f ca="1">+WORLDCUP!BD62</f>
        <v>Costa de Marfil</v>
      </c>
      <c r="E489" s="9" t="str">
        <f ca="1">+WORLDCUP!BD59</f>
        <v>Suiza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Arabia Saudita</v>
      </c>
      <c r="D490" s="9" t="str">
        <f ca="1">+WORLDCUP!BD67</f>
        <v>Argelia</v>
      </c>
      <c r="E490" s="9" t="str">
        <f ca="1">+WORLDCUP!BD59</f>
        <v>Suiza</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Arabia Saudita</v>
      </c>
      <c r="D491" s="9" t="str">
        <f ca="1">+WORLDCUP!BD62</f>
        <v>Costa de Marfil</v>
      </c>
      <c r="E491" s="9" t="str">
        <f ca="1">+WORLDCUP!BD59</f>
        <v>Suiza</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Suiza</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Suiza</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Suiza</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Suiza</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Arabia Saudita</v>
      </c>
      <c r="D496" s="9" t="str">
        <f ca="1">+WORLDCUP!BD64</f>
        <v>Irán</v>
      </c>
      <c r="E496" s="9" t="str">
        <f ca="1">+WORLDCUP!BD59</f>
        <v>Suiza</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x14ac:dyDescent="0.2">
      <c r="L88" s="3"/>
      <c r="M88" s="3"/>
      <c r="N88" s="3"/>
      <c r="O88" s="6"/>
      <c r="P88" s="6"/>
      <c r="Q88" s="6"/>
      <c r="R88" s="6"/>
      <c r="T88" s="16" t="s">
        <v>1478</v>
      </c>
      <c r="U88" s="9" t="s">
        <v>1463</v>
      </c>
      <c r="V88" s="9" t="s">
        <v>1464</v>
      </c>
      <c r="W88" s="9" t="s">
        <v>1465</v>
      </c>
      <c r="X88" s="584" t="e" vm="3">
        <v>#VALUE!</v>
      </c>
      <c r="Y88" s="9">
        <v>4</v>
      </c>
      <c r="Z88" s="6"/>
      <c r="AA88" s="6"/>
      <c r="AB88" s="6"/>
    </row>
    <row r="89" spans="12:28" ht="16" x14ac:dyDescent="0.2">
      <c r="L89" s="3"/>
      <c r="M89" s="3"/>
      <c r="N89" s="3"/>
      <c r="O89" s="6"/>
      <c r="P89" s="6"/>
      <c r="Q89" s="6"/>
      <c r="R89" s="6"/>
      <c r="T89" s="16" t="s">
        <v>1479</v>
      </c>
      <c r="U89" s="9" t="s">
        <v>1466</v>
      </c>
      <c r="V89" s="9" t="s">
        <v>1466</v>
      </c>
      <c r="W89" s="585" t="s">
        <v>1468</v>
      </c>
      <c r="X89" s="584" t="e" vm="4">
        <v>#VALUE!</v>
      </c>
      <c r="Y89" s="9">
        <v>-4</v>
      </c>
      <c r="Z89" s="6"/>
      <c r="AA89" s="6"/>
      <c r="AB89" s="6"/>
    </row>
    <row r="90" spans="12:28" ht="16" x14ac:dyDescent="0.2">
      <c r="L90" s="3"/>
      <c r="M90" s="3"/>
      <c r="N90" s="3"/>
      <c r="O90" s="6"/>
      <c r="P90" s="6"/>
      <c r="Q90" s="6"/>
      <c r="R90" s="6"/>
      <c r="T90" s="16" t="s">
        <v>1480</v>
      </c>
      <c r="U90" s="9" t="s">
        <v>1467</v>
      </c>
      <c r="V90" s="9" t="s">
        <v>1470</v>
      </c>
      <c r="W90" s="586" t="s">
        <v>1469</v>
      </c>
      <c r="X90" s="584" t="e" vm="5">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1458</v>
      </c>
      <c r="O92" s="409" t="s">
        <v>1459</v>
      </c>
      <c r="P92" s="409" t="s">
        <v>1493</v>
      </c>
      <c r="Q92" s="409" t="s">
        <v>1481</v>
      </c>
      <c r="R92" s="409" t="s">
        <v>1473</v>
      </c>
      <c r="Z92" s="6"/>
      <c r="AA92" s="6"/>
      <c r="AB92" s="6"/>
    </row>
    <row r="93" spans="12:28" ht="2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x14ac:dyDescent="0.2">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x14ac:dyDescent="0.2">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x14ac:dyDescent="0.2">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x14ac:dyDescent="0.2">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x14ac:dyDescent="0.2">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x14ac:dyDescent="0.2">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x14ac:dyDescent="0.2">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x14ac:dyDescent="0.2">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x14ac:dyDescent="0.2">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x14ac:dyDescent="0.2">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x14ac:dyDescent="0.2">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x14ac:dyDescent="0.2">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x14ac:dyDescent="0.2">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x14ac:dyDescent="0.2">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x14ac:dyDescent="0.2">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x14ac:dyDescent="0.2">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x14ac:dyDescent="0.2">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x14ac:dyDescent="0.2">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x14ac:dyDescent="0.2">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x14ac:dyDescent="0.2">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x14ac:dyDescent="0.2">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x14ac:dyDescent="0.2">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x14ac:dyDescent="0.2">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x14ac:dyDescent="0.2">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x14ac:dyDescent="0.2">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x14ac:dyDescent="0.2">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x14ac:dyDescent="0.2">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x14ac:dyDescent="0.2">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x14ac:dyDescent="0.2">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x14ac:dyDescent="0.2">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46197.166666666664</v>
      </c>
      <c r="D87" s="622"/>
    </row>
    <row r="88" spans="1:35" x14ac:dyDescent="0.2">
      <c r="A88" s="594">
        <v>46200.8125</v>
      </c>
      <c r="B88" s="16"/>
      <c r="C88" s="594">
        <f t="shared" ca="1" si="35"/>
        <v>46201.0625</v>
      </c>
      <c r="D88" s="622"/>
    </row>
    <row r="89" spans="1:35" x14ac:dyDescent="0.2">
      <c r="A89" s="594">
        <v>46200.8125</v>
      </c>
      <c r="B89" s="16"/>
      <c r="C89" s="594">
        <f t="shared" ca="1" si="35"/>
        <v>46201.0625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46190.916666666664</v>
      </c>
      <c r="D92" s="622"/>
    </row>
    <row r="93" spans="1:35" x14ac:dyDescent="0.2">
      <c r="A93" s="594">
        <v>46190.791666666664</v>
      </c>
      <c r="B93" s="16"/>
      <c r="C93" s="594">
        <f t="shared" ca="1" si="36"/>
        <v>46191.041666666664</v>
      </c>
      <c r="D93" s="622"/>
    </row>
    <row r="94" spans="1:35" x14ac:dyDescent="0.2">
      <c r="A94" s="594">
        <v>46196.666666666664</v>
      </c>
      <c r="B94" s="16"/>
      <c r="C94" s="594">
        <f t="shared" ca="1" si="36"/>
        <v>46196.916666666664</v>
      </c>
      <c r="D94" s="622"/>
    </row>
    <row r="95" spans="1:35" x14ac:dyDescent="0.2">
      <c r="A95" s="594">
        <v>46196.791666666664</v>
      </c>
      <c r="B95" s="16"/>
      <c r="C95" s="594">
        <f t="shared" ca="1" si="36"/>
        <v>46197.041666666664</v>
      </c>
      <c r="D95" s="622"/>
    </row>
    <row r="96" spans="1:35" x14ac:dyDescent="0.2">
      <c r="A96" s="594">
        <v>46200.708333333336</v>
      </c>
      <c r="B96" s="16"/>
      <c r="C96" s="594">
        <f t="shared" ca="1" si="36"/>
        <v>46200.958333333336</v>
      </c>
      <c r="D96" s="622"/>
    </row>
    <row r="97" spans="1:10" x14ac:dyDescent="0.2">
      <c r="A97" s="594">
        <v>46200.708333333336</v>
      </c>
      <c r="B97" s="16"/>
      <c r="C97" s="594">
        <f t="shared" ca="1" si="36"/>
        <v>46200.958333333336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46201.875</v>
      </c>
      <c r="F101" s="16">
        <v>73</v>
      </c>
      <c r="G101" s="594">
        <v>46201.625</v>
      </c>
      <c r="I101" s="16">
        <v>73</v>
      </c>
      <c r="J101" s="594">
        <v>46201.625</v>
      </c>
    </row>
    <row r="102" spans="1:10" x14ac:dyDescent="0.2">
      <c r="A102" s="594">
        <v>46202.541666666664</v>
      </c>
      <c r="B102" s="16"/>
      <c r="C102" s="594">
        <f t="shared" ca="1" si="37"/>
        <v>46202.791666666664</v>
      </c>
      <c r="F102" s="16">
        <v>76</v>
      </c>
      <c r="G102" s="594">
        <v>46202.541666666664</v>
      </c>
      <c r="I102" s="16">
        <v>74</v>
      </c>
      <c r="J102" s="594">
        <v>46202.6875</v>
      </c>
    </row>
    <row r="103" spans="1:10" x14ac:dyDescent="0.2">
      <c r="A103" s="594">
        <v>46202.6875</v>
      </c>
      <c r="B103" s="16"/>
      <c r="C103" s="594">
        <f t="shared" ca="1" si="37"/>
        <v>46202.9375</v>
      </c>
      <c r="F103" s="16">
        <v>74</v>
      </c>
      <c r="G103" s="594">
        <v>46202.6875</v>
      </c>
      <c r="I103" s="16">
        <v>75</v>
      </c>
      <c r="J103" s="594">
        <v>46202.875</v>
      </c>
    </row>
    <row r="104" spans="1:10" x14ac:dyDescent="0.2">
      <c r="A104" s="594">
        <v>46202.875</v>
      </c>
      <c r="B104" s="16"/>
      <c r="C104" s="594">
        <f t="shared" ca="1" si="37"/>
        <v>46203.125</v>
      </c>
      <c r="F104" s="16">
        <v>75</v>
      </c>
      <c r="G104" s="594">
        <v>46202.875</v>
      </c>
      <c r="I104" s="16">
        <v>76</v>
      </c>
      <c r="J104" s="594">
        <v>46202.541666666664</v>
      </c>
    </row>
    <row r="105" spans="1:10" x14ac:dyDescent="0.2">
      <c r="A105" s="594">
        <v>46203.541666666664</v>
      </c>
      <c r="B105" s="16"/>
      <c r="C105" s="594">
        <f t="shared" ca="1" si="37"/>
        <v>46203.791666666664</v>
      </c>
      <c r="F105" s="16">
        <v>78</v>
      </c>
      <c r="G105" s="594">
        <v>46203.541666666664</v>
      </c>
      <c r="I105" s="16">
        <v>77</v>
      </c>
      <c r="J105" s="594">
        <v>46203.708333333336</v>
      </c>
    </row>
    <row r="106" spans="1:10" x14ac:dyDescent="0.2">
      <c r="A106" s="594">
        <v>46203.708333333336</v>
      </c>
      <c r="B106" s="16"/>
      <c r="C106" s="594">
        <f t="shared" ca="1" si="37"/>
        <v>46203.958333333336</v>
      </c>
      <c r="F106" s="16">
        <v>77</v>
      </c>
      <c r="G106" s="594">
        <v>46203.708333333336</v>
      </c>
      <c r="I106" s="16">
        <v>78</v>
      </c>
      <c r="J106" s="594">
        <v>46203.541666666664</v>
      </c>
    </row>
    <row r="107" spans="1:10" x14ac:dyDescent="0.2">
      <c r="A107" s="594">
        <v>46203.875</v>
      </c>
      <c r="B107" s="16"/>
      <c r="C107" s="594">
        <f t="shared" ca="1" si="37"/>
        <v>46204.125</v>
      </c>
      <c r="F107" s="16">
        <v>79</v>
      </c>
      <c r="G107" s="594">
        <v>46203.875</v>
      </c>
      <c r="I107" s="16">
        <v>79</v>
      </c>
      <c r="J107" s="594">
        <v>46203.875</v>
      </c>
    </row>
    <row r="108" spans="1:10" x14ac:dyDescent="0.2">
      <c r="A108" s="594">
        <v>46204.5</v>
      </c>
      <c r="B108" s="16"/>
      <c r="C108" s="594">
        <f t="shared" ca="1" si="37"/>
        <v>46204.75</v>
      </c>
      <c r="F108" s="16">
        <v>80</v>
      </c>
      <c r="G108" s="594">
        <v>46204.5</v>
      </c>
      <c r="I108" s="16">
        <v>80</v>
      </c>
      <c r="J108" s="594">
        <v>46204.5</v>
      </c>
    </row>
    <row r="109" spans="1:10" x14ac:dyDescent="0.2">
      <c r="A109" s="594">
        <v>46204.666666666664</v>
      </c>
      <c r="B109" s="16"/>
      <c r="C109" s="594">
        <f t="shared" ca="1" si="37"/>
        <v>46204.916666666664</v>
      </c>
      <c r="F109" s="16">
        <v>82</v>
      </c>
      <c r="G109" s="594">
        <v>46204.666666666664</v>
      </c>
      <c r="I109" s="16">
        <v>81</v>
      </c>
      <c r="J109" s="594">
        <v>46204.833333333336</v>
      </c>
    </row>
    <row r="110" spans="1:10" x14ac:dyDescent="0.2">
      <c r="A110" s="594">
        <v>46204.833333333336</v>
      </c>
      <c r="B110" s="16"/>
      <c r="C110" s="594">
        <f t="shared" ca="1" si="37"/>
        <v>46205.083333333336</v>
      </c>
      <c r="F110" s="16">
        <v>81</v>
      </c>
      <c r="G110" s="594">
        <v>46204.833333333336</v>
      </c>
      <c r="I110" s="16">
        <v>82</v>
      </c>
      <c r="J110" s="594">
        <v>46204.666666666664</v>
      </c>
    </row>
    <row r="111" spans="1:10" x14ac:dyDescent="0.2">
      <c r="A111" s="594">
        <v>46205.625</v>
      </c>
      <c r="B111" s="16"/>
      <c r="C111" s="594">
        <f t="shared" ca="1" si="37"/>
        <v>46205.875</v>
      </c>
      <c r="F111" s="16">
        <v>84</v>
      </c>
      <c r="G111" s="594">
        <v>46205.625</v>
      </c>
      <c r="I111" s="16">
        <v>83</v>
      </c>
      <c r="J111" s="594">
        <v>46205.791666666664</v>
      </c>
    </row>
    <row r="112" spans="1:10" x14ac:dyDescent="0.2">
      <c r="A112" s="594">
        <v>46205.791666666664</v>
      </c>
      <c r="B112" s="16"/>
      <c r="C112" s="594">
        <f t="shared" ca="1" si="37"/>
        <v>46206.041666666664</v>
      </c>
      <c r="F112" s="16">
        <v>83</v>
      </c>
      <c r="G112" s="594">
        <v>46205.791666666664</v>
      </c>
      <c r="I112" s="16">
        <v>84</v>
      </c>
      <c r="J112" s="594">
        <v>46205.625</v>
      </c>
    </row>
    <row r="113" spans="1:10" x14ac:dyDescent="0.2">
      <c r="A113" s="594">
        <v>46205.958333333336</v>
      </c>
      <c r="B113" s="16"/>
      <c r="C113" s="594">
        <f t="shared" ca="1" si="37"/>
        <v>46206.208333333336</v>
      </c>
      <c r="F113" s="16">
        <v>85</v>
      </c>
      <c r="G113" s="594">
        <v>46205.958333333336</v>
      </c>
      <c r="I113" s="16">
        <v>85</v>
      </c>
      <c r="J113" s="594">
        <v>46205.958333333336</v>
      </c>
    </row>
    <row r="114" spans="1:10" x14ac:dyDescent="0.2">
      <c r="A114" s="594">
        <v>46206.583333333336</v>
      </c>
      <c r="B114" s="16"/>
      <c r="C114" s="594">
        <f t="shared" ca="1" si="37"/>
        <v>46206.833333333336</v>
      </c>
      <c r="F114" s="16">
        <v>88</v>
      </c>
      <c r="G114" s="594">
        <v>46206.583333333336</v>
      </c>
      <c r="I114" s="16">
        <v>86</v>
      </c>
      <c r="J114" s="594">
        <v>46206.75</v>
      </c>
    </row>
    <row r="115" spans="1:10" x14ac:dyDescent="0.2">
      <c r="A115" s="594">
        <v>46206.75</v>
      </c>
      <c r="B115" s="16"/>
      <c r="C115" s="594">
        <f t="shared" ca="1" si="37"/>
        <v>46207</v>
      </c>
      <c r="F115" s="16">
        <v>86</v>
      </c>
      <c r="G115" s="594">
        <v>46206.75</v>
      </c>
      <c r="I115" s="16">
        <v>87</v>
      </c>
      <c r="J115" s="594">
        <v>46206.895833333336</v>
      </c>
    </row>
    <row r="116" spans="1:10" x14ac:dyDescent="0.2">
      <c r="A116" s="594">
        <v>46206.895833333336</v>
      </c>
      <c r="B116" s="16"/>
      <c r="C116" s="594">
        <f t="shared" ca="1" si="37"/>
        <v>46207.145833333336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x14ac:dyDescent="0.2">
      <c r="A121" s="594">
        <v>46207.708333333336</v>
      </c>
      <c r="B121" s="16"/>
      <c r="C121" s="594">
        <f t="shared" ca="1" si="38"/>
        <v>46207.958333333336</v>
      </c>
      <c r="D121" s="622"/>
      <c r="F121" s="16">
        <v>89</v>
      </c>
      <c r="G121" s="594">
        <v>46207.708333333336</v>
      </c>
      <c r="I121" s="16">
        <v>90</v>
      </c>
      <c r="J121" s="594">
        <v>46207.541666666664</v>
      </c>
    </row>
    <row r="122" spans="1:10" x14ac:dyDescent="0.2">
      <c r="A122" s="594">
        <v>46208.666666666664</v>
      </c>
      <c r="B122" s="16"/>
      <c r="C122" s="594">
        <f t="shared" ca="1" si="38"/>
        <v>46208.916666666664</v>
      </c>
      <c r="D122" s="622"/>
      <c r="F122" s="16">
        <v>91</v>
      </c>
      <c r="G122" s="594">
        <v>46208.666666666664</v>
      </c>
      <c r="I122" s="16">
        <v>91</v>
      </c>
      <c r="J122" s="594">
        <v>46208.666666666664</v>
      </c>
    </row>
    <row r="123" spans="1:10" x14ac:dyDescent="0.2">
      <c r="A123" s="594">
        <v>46208.833333333336</v>
      </c>
      <c r="B123" s="16"/>
      <c r="C123" s="594">
        <f t="shared" ca="1" si="38"/>
        <v>46209.083333333336</v>
      </c>
      <c r="D123" s="622"/>
      <c r="F123" s="16">
        <v>92</v>
      </c>
      <c r="G123" s="594">
        <v>46208.833333333336</v>
      </c>
      <c r="I123" s="16">
        <v>92</v>
      </c>
      <c r="J123" s="594">
        <v>46208.833333333336</v>
      </c>
    </row>
    <row r="124" spans="1:10" x14ac:dyDescent="0.2">
      <c r="A124" s="594">
        <v>46209.625</v>
      </c>
      <c r="B124" s="16"/>
      <c r="C124" s="594">
        <f t="shared" ca="1" si="38"/>
        <v>46209.875</v>
      </c>
      <c r="D124" s="622"/>
      <c r="F124" s="16">
        <v>93</v>
      </c>
      <c r="G124" s="594">
        <v>46209.625</v>
      </c>
      <c r="I124" s="16">
        <v>93</v>
      </c>
      <c r="J124" s="594">
        <v>46209.625</v>
      </c>
    </row>
    <row r="125" spans="1:10" x14ac:dyDescent="0.2">
      <c r="A125" s="594">
        <v>46209.833333333336</v>
      </c>
      <c r="B125" s="16"/>
      <c r="C125" s="594">
        <f t="shared" ca="1" si="38"/>
        <v>46210.083333333336</v>
      </c>
      <c r="D125" s="622"/>
      <c r="F125" s="16">
        <v>94</v>
      </c>
      <c r="G125" s="594">
        <v>46209.833333333336</v>
      </c>
      <c r="I125" s="16">
        <v>94</v>
      </c>
      <c r="J125" s="594">
        <v>46209.833333333336</v>
      </c>
    </row>
    <row r="126" spans="1:10" x14ac:dyDescent="0.2">
      <c r="A126" s="594">
        <v>46210.5</v>
      </c>
      <c r="B126" s="16"/>
      <c r="C126" s="594">
        <f t="shared" ca="1" si="38"/>
        <v>46210.75</v>
      </c>
      <c r="D126" s="622"/>
      <c r="F126" s="16">
        <v>95</v>
      </c>
      <c r="G126" s="594">
        <v>46210.5</v>
      </c>
      <c r="I126" s="16">
        <v>95</v>
      </c>
      <c r="J126" s="594">
        <v>46210.5</v>
      </c>
    </row>
    <row r="127" spans="1:10" x14ac:dyDescent="0.2">
      <c r="A127" s="594">
        <v>46210.666666666664</v>
      </c>
      <c r="B127" s="16"/>
      <c r="C127" s="594">
        <f t="shared" ca="1" si="38"/>
        <v>46210.916666666664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46213.875</v>
      </c>
      <c r="D132" s="622"/>
      <c r="F132" s="16">
        <v>98</v>
      </c>
      <c r="G132" s="594">
        <v>46213.625</v>
      </c>
      <c r="I132" s="16">
        <v>98</v>
      </c>
      <c r="J132" s="594">
        <v>46213.625</v>
      </c>
    </row>
    <row r="133" spans="1:10" x14ac:dyDescent="0.2">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46215.125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46217.875</v>
      </c>
      <c r="D138" s="622"/>
    </row>
    <row r="139" spans="1:10" x14ac:dyDescent="0.2">
      <c r="A139" s="594">
        <v>46218.625</v>
      </c>
      <c r="B139" s="16"/>
      <c r="C139" s="594">
        <f ca="1">A139+INDEX($V$3:$V$86,MATCH($C$3,$P$3:$P$86,0))*INDEX($W$3:$W$86,MATCH($C$3,$P$3:$P$86,0))</f>
        <v>46218.875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46221.958333333336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Antonio Camina</cp:lastModifiedBy>
  <cp:lastPrinted>2018-12-06T18:06:35Z</cp:lastPrinted>
  <dcterms:created xsi:type="dcterms:W3CDTF">2015-10-31T09:41:54Z</dcterms:created>
  <dcterms:modified xsi:type="dcterms:W3CDTF">2026-06-10T22:12:52Z</dcterms:modified>
</cp:coreProperties>
</file>