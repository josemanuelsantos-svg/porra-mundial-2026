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autoCompressPictures="0" defaultThemeVersion="124226"/>
  <mc:AlternateContent xmlns:mc="http://schemas.openxmlformats.org/markup-compatibility/2006">
    <mc:Choice Requires="x15">
      <x15ac:absPath xmlns:x15ac="http://schemas.microsoft.com/office/spreadsheetml/2010/11/ac" url="Z:\Z Lidia&amp;8pi\Downloads\Telegram Desktop\"/>
    </mc:Choice>
  </mc:AlternateContent>
  <xr:revisionPtr revIDLastSave="0" documentId="13_ncr:1000001_{1A1A0E12-BF3E-204A-B629-34A15FA35884}"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20" yWindow="-120" windowWidth="24240" windowHeight="130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c r="BO69" i="3"/>
  <c r="BO68" i="3"/>
  <c r="BO67" i="3"/>
  <c r="BO66" i="3"/>
  <c r="BO65" i="3"/>
  <c r="BO64" i="3"/>
  <c r="BO63" i="3"/>
  <c r="BO62" i="3"/>
  <c r="BO61" i="3"/>
  <c r="BO60" i="3"/>
  <c r="BO59" i="3"/>
  <c r="BO58" i="3"/>
  <c r="FA6144" i="34"/>
  <c r="EZ6144" i="34"/>
  <c r="AC28" i="32"/>
  <c r="Y91" i="34"/>
  <c r="X91" i="34"/>
  <c r="W91" i="34"/>
  <c r="V91" i="34"/>
  <c r="U91" i="34"/>
  <c r="M27" i="6"/>
  <c r="L27" i="6"/>
  <c r="AD28" i="32"/>
  <c r="EV6144" i="34"/>
  <c r="H227" i="36"/>
  <c r="EU6119" i="34"/>
  <c r="G202" i="36"/>
  <c r="EV6119" i="34"/>
  <c r="H202" i="36"/>
  <c r="EU6120" i="34"/>
  <c r="G203" i="36"/>
  <c r="EV6120" i="34"/>
  <c r="H203" i="36"/>
  <c r="EU6121" i="34"/>
  <c r="G204" i="36"/>
  <c r="EV6121" i="34"/>
  <c r="H204" i="36"/>
  <c r="EU6122" i="34"/>
  <c r="G205" i="36"/>
  <c r="EV6122" i="34"/>
  <c r="H205" i="36"/>
  <c r="EU6123" i="34"/>
  <c r="G206" i="36"/>
  <c r="EV6123" i="34"/>
  <c r="H206" i="36"/>
  <c r="EU6124" i="34"/>
  <c r="G207" i="36"/>
  <c r="EV6124" i="34"/>
  <c r="H207" i="36"/>
  <c r="EU6125" i="34"/>
  <c r="G208" i="36"/>
  <c r="EV6125" i="34"/>
  <c r="H208" i="36"/>
  <c r="EU6126" i="34"/>
  <c r="G209" i="36"/>
  <c r="EV6126" i="34"/>
  <c r="H209" i="36"/>
  <c r="EU6127" i="34"/>
  <c r="G210" i="36"/>
  <c r="EV6127" i="34"/>
  <c r="H210" i="36"/>
  <c r="EU6128" i="34"/>
  <c r="G211" i="36"/>
  <c r="EV6128" i="34"/>
  <c r="H211" i="36"/>
  <c r="EU6129" i="34"/>
  <c r="G212" i="36"/>
  <c r="EV6129" i="34"/>
  <c r="H212" i="36"/>
  <c r="EU6130" i="34"/>
  <c r="G213" i="36"/>
  <c r="EV6130" i="34"/>
  <c r="H213" i="36"/>
  <c r="EU6131" i="34"/>
  <c r="G214" i="36"/>
  <c r="EV6131" i="34"/>
  <c r="H214" i="36"/>
  <c r="EU6132" i="34"/>
  <c r="G215" i="36"/>
  <c r="EV6132" i="34"/>
  <c r="H215" i="36"/>
  <c r="EU6133" i="34"/>
  <c r="G216" i="36"/>
  <c r="EV6133" i="34"/>
  <c r="H216" i="36"/>
  <c r="EU6134" i="34"/>
  <c r="G217" i="36"/>
  <c r="EV6134" i="34"/>
  <c r="H217" i="36"/>
  <c r="EU6135" i="34"/>
  <c r="G218" i="36"/>
  <c r="EV6135" i="34"/>
  <c r="H218" i="36"/>
  <c r="EU6136" i="34"/>
  <c r="G219" i="36"/>
  <c r="EV6136" i="34"/>
  <c r="H219" i="36"/>
  <c r="EU6137" i="34"/>
  <c r="G220" i="36"/>
  <c r="EV6137" i="34"/>
  <c r="H220" i="36"/>
  <c r="EU6138" i="34"/>
  <c r="G221" i="36"/>
  <c r="EV6138" i="34"/>
  <c r="H221" i="36"/>
  <c r="EU6139" i="34"/>
  <c r="G222" i="36"/>
  <c r="EV6139" i="34"/>
  <c r="H222" i="36"/>
  <c r="EU6140" i="34"/>
  <c r="G223" i="36"/>
  <c r="EV6140" i="34"/>
  <c r="H223" i="36"/>
  <c r="EU6141" i="34"/>
  <c r="G224" i="36"/>
  <c r="EV6141" i="34"/>
  <c r="H224" i="36"/>
  <c r="EU6142" i="34"/>
  <c r="G225" i="36"/>
  <c r="EV6142" i="34"/>
  <c r="H225" i="36"/>
  <c r="EU6143" i="34"/>
  <c r="G226" i="36"/>
  <c r="EV6143" i="34"/>
  <c r="H226" i="36"/>
  <c r="EU6145" i="34"/>
  <c r="G228" i="36"/>
  <c r="EV6145" i="34"/>
  <c r="H228" i="36"/>
  <c r="EU6146" i="34"/>
  <c r="G229" i="36"/>
  <c r="EV6146" i="34"/>
  <c r="H229" i="36"/>
  <c r="EU6147" i="34"/>
  <c r="G230" i="36"/>
  <c r="EV6147" i="34"/>
  <c r="H230" i="36"/>
  <c r="EU6148" i="34"/>
  <c r="G231" i="36"/>
  <c r="EV6148" i="34"/>
  <c r="H231" i="36"/>
  <c r="EU6149" i="34"/>
  <c r="G232" i="36"/>
  <c r="EV6149" i="34"/>
  <c r="H232" i="36"/>
  <c r="EU6150" i="34"/>
  <c r="G233" i="36"/>
  <c r="EV6150" i="34"/>
  <c r="H233" i="36"/>
  <c r="EU6151" i="34"/>
  <c r="G234" i="36"/>
  <c r="EV6151" i="34"/>
  <c r="H234" i="36"/>
  <c r="EU6152" i="34"/>
  <c r="G235" i="36"/>
  <c r="EV6152" i="34"/>
  <c r="H235" i="36"/>
  <c r="EU6153" i="34"/>
  <c r="G236" i="36"/>
  <c r="EV6153" i="34"/>
  <c r="H236" i="36"/>
  <c r="EU6154" i="34"/>
  <c r="G237" i="36"/>
  <c r="EV6154" i="34"/>
  <c r="H237" i="36"/>
  <c r="EU6155" i="34"/>
  <c r="G238" i="36"/>
  <c r="EV6155" i="34"/>
  <c r="H238" i="36"/>
  <c r="EU6156" i="34"/>
  <c r="G239" i="36"/>
  <c r="EV6156" i="34"/>
  <c r="H239" i="36"/>
  <c r="EU6157" i="34"/>
  <c r="G240" i="36"/>
  <c r="EV6157" i="34"/>
  <c r="H240" i="36"/>
  <c r="EU6158" i="34"/>
  <c r="G241" i="36"/>
  <c r="EV6158" i="34"/>
  <c r="H241" i="36"/>
  <c r="EU6159" i="34"/>
  <c r="G242" i="36"/>
  <c r="EV6159" i="34"/>
  <c r="H242" i="36"/>
  <c r="EU6160" i="34"/>
  <c r="G243" i="36"/>
  <c r="EV6160" i="34"/>
  <c r="H243" i="36"/>
  <c r="EU6161" i="34"/>
  <c r="G244" i="36"/>
  <c r="EV6161" i="34"/>
  <c r="H244" i="36"/>
  <c r="EU6162" i="34"/>
  <c r="G245" i="36"/>
  <c r="EV6162" i="34"/>
  <c r="H245" i="36"/>
  <c r="EU6163" i="34"/>
  <c r="G246" i="36"/>
  <c r="EV6163" i="34"/>
  <c r="H246" i="36"/>
  <c r="EU6164" i="34"/>
  <c r="G247" i="36"/>
  <c r="EV6164" i="34"/>
  <c r="H247" i="36"/>
  <c r="EU6165" i="34"/>
  <c r="G248" i="36"/>
  <c r="EV6165" i="34"/>
  <c r="H248" i="36"/>
  <c r="EU6166" i="34"/>
  <c r="G249" i="36"/>
  <c r="EV6166" i="34"/>
  <c r="H249" i="36"/>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c r="D54" i="3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c r="D104" i="36"/>
  <c r="D105" i="36"/>
  <c r="C4" i="31"/>
  <c r="D140" i="36"/>
  <c r="B80" i="31"/>
  <c r="D152" i="36"/>
  <c r="B92" i="31"/>
  <c r="D108" i="36"/>
  <c r="E4" i="31"/>
  <c r="D136" i="36"/>
  <c r="B239" i="31"/>
  <c r="D160" i="36"/>
  <c r="B100" i="31"/>
  <c r="D155" i="36"/>
  <c r="B95" i="31"/>
  <c r="D49" i="36"/>
  <c r="AL149" i="3"/>
  <c r="D120" i="36"/>
  <c r="E253" i="31"/>
  <c r="D159" i="36"/>
  <c r="B99" i="31"/>
  <c r="D15" i="36"/>
  <c r="C7" i="30"/>
  <c r="D129" i="36"/>
  <c r="B181" i="31"/>
  <c r="D169" i="36"/>
  <c r="B109" i="31"/>
  <c r="D190" i="36"/>
  <c r="B210" i="31"/>
  <c r="B211" i="31"/>
  <c r="B212" i="31"/>
  <c r="B213" i="31"/>
  <c r="B214" i="31"/>
  <c r="B215" i="31"/>
  <c r="B216" i="31"/>
  <c r="B217" i="31"/>
  <c r="D138" i="36"/>
  <c r="B246" i="31"/>
  <c r="D132" i="36"/>
  <c r="B219" i="31"/>
  <c r="D21" i="36"/>
  <c r="AC3" i="3"/>
  <c r="D31" i="36"/>
  <c r="W141" i="3"/>
  <c r="D106" i="36"/>
  <c r="E1" i="31"/>
  <c r="D81" i="36"/>
  <c r="B16" i="34"/>
  <c r="D107" i="36"/>
  <c r="E3" i="31"/>
  <c r="D193" i="36"/>
  <c r="B240" i="31"/>
  <c r="B241" i="31"/>
  <c r="D51" i="36"/>
  <c r="AJ5" i="3"/>
  <c r="D186" i="36"/>
  <c r="B126" i="31"/>
  <c r="D33" i="36"/>
  <c r="AA149" i="3"/>
  <c r="D19" i="36"/>
  <c r="Z3" i="3"/>
  <c r="D175" i="36"/>
  <c r="B115" i="31"/>
  <c r="D183" i="36"/>
  <c r="B123" i="31"/>
  <c r="D40" i="36"/>
  <c r="W158" i="3"/>
  <c r="B256" i="31"/>
  <c r="D24" i="36"/>
  <c r="AV3" i="3"/>
  <c r="D37" i="36"/>
  <c r="W154" i="3"/>
  <c r="B253" i="31"/>
  <c r="D17" i="36"/>
  <c r="X3" i="3"/>
  <c r="D171" i="36"/>
  <c r="B111" i="31"/>
  <c r="D187" i="36"/>
  <c r="B127" i="31"/>
  <c r="D39" i="36"/>
  <c r="W156" i="3"/>
  <c r="B255" i="31"/>
  <c r="D38" i="36"/>
  <c r="W155" i="3"/>
  <c r="B254" i="31"/>
  <c r="D264" i="36"/>
  <c r="D263" i="36"/>
  <c r="D269" i="36"/>
  <c r="D266" i="36"/>
  <c r="D125" i="36"/>
  <c r="B5" i="31"/>
  <c r="D69" i="36"/>
  <c r="D255" i="36"/>
  <c r="D271" i="36"/>
  <c r="D259" i="36"/>
  <c r="D70" i="36"/>
  <c r="D95" i="36"/>
  <c r="L21" i="34"/>
  <c r="D88" i="36"/>
  <c r="L12" i="34"/>
  <c r="D89" i="36"/>
  <c r="L13" i="34"/>
  <c r="D91" i="36"/>
  <c r="L15" i="34"/>
  <c r="D10" i="36"/>
  <c r="D52" i="36"/>
  <c r="AL5" i="3"/>
  <c r="D30" i="36"/>
  <c r="W136" i="3"/>
  <c r="D60" i="36"/>
  <c r="AT5" i="3"/>
  <c r="AT45" i="3"/>
  <c r="D22" i="36"/>
  <c r="AF3" i="3"/>
  <c r="D256" i="36"/>
  <c r="D85" i="36"/>
  <c r="L5" i="34"/>
  <c r="D35" i="36"/>
  <c r="W151" i="3"/>
  <c r="B251" i="31"/>
  <c r="D66" i="36"/>
  <c r="D164" i="36"/>
  <c r="B104" i="31"/>
  <c r="D47" i="36"/>
  <c r="AL148" i="3"/>
  <c r="D182" i="36"/>
  <c r="B122" i="31"/>
  <c r="D142" i="36"/>
  <c r="B82" i="31"/>
  <c r="D148" i="36"/>
  <c r="B88" i="31"/>
  <c r="D143" i="36"/>
  <c r="B83" i="31"/>
  <c r="D145" i="36"/>
  <c r="B85" i="31"/>
  <c r="D4" i="36"/>
  <c r="K6" i="30"/>
  <c r="D192" i="36"/>
  <c r="B237" i="31"/>
  <c r="D56" i="36"/>
  <c r="AP5" i="3"/>
  <c r="AP53" i="3"/>
  <c r="D94" i="36"/>
  <c r="L20" i="34"/>
  <c r="D8" i="36"/>
  <c r="B3" i="30"/>
  <c r="D262" i="36"/>
  <c r="D127" i="36"/>
  <c r="B129" i="31"/>
  <c r="D184" i="36"/>
  <c r="B124" i="31"/>
  <c r="D41" i="36"/>
  <c r="W159" i="3"/>
  <c r="B257" i="31"/>
  <c r="D181" i="36"/>
  <c r="B121" i="31"/>
  <c r="D48" i="36"/>
  <c r="AM148" i="3"/>
  <c r="D111" i="36"/>
  <c r="E30" i="31"/>
  <c r="D119" i="36"/>
  <c r="E244" i="31"/>
  <c r="D25" i="36"/>
  <c r="D261" i="36"/>
  <c r="D93" i="36"/>
  <c r="D9" i="36"/>
  <c r="D46" i="36"/>
  <c r="C9" i="30"/>
  <c r="D172" i="36"/>
  <c r="B112" i="31"/>
  <c r="D168" i="36"/>
  <c r="B108" i="31"/>
  <c r="D189" i="36"/>
  <c r="B182" i="31"/>
  <c r="B183" i="31"/>
  <c r="B184" i="31"/>
  <c r="B185" i="31"/>
  <c r="B186" i="31"/>
  <c r="B187" i="31"/>
  <c r="B188" i="31"/>
  <c r="B189" i="31"/>
  <c r="B190" i="31"/>
  <c r="B191" i="31"/>
  <c r="B192" i="31"/>
  <c r="B193" i="31"/>
  <c r="B194" i="31"/>
  <c r="B195" i="31"/>
  <c r="B196" i="31"/>
  <c r="B197" i="31"/>
  <c r="D146" i="36"/>
  <c r="B86" i="31"/>
  <c r="D5" i="36"/>
  <c r="D113" i="36"/>
  <c r="E162" i="31"/>
  <c r="D102" i="36"/>
  <c r="C1" i="31"/>
  <c r="D154" i="36"/>
  <c r="B94" i="31"/>
  <c r="E16" i="30"/>
  <c r="D34" i="36"/>
  <c r="W150" i="3"/>
  <c r="B250" i="31"/>
  <c r="D54" i="36"/>
  <c r="AN5" i="3"/>
  <c r="AN21" i="3"/>
  <c r="D84" i="36"/>
  <c r="L4" i="34"/>
  <c r="D87" i="36"/>
  <c r="L11" i="34"/>
  <c r="D260" i="36"/>
  <c r="D27" i="36"/>
  <c r="W99" i="3"/>
  <c r="D43" i="36"/>
  <c r="C254" i="31"/>
  <c r="D265" i="36"/>
  <c r="D18" i="36"/>
  <c r="Y3" i="3"/>
  <c r="D252" i="36"/>
  <c r="L2" i="32"/>
  <c r="D162" i="36"/>
  <c r="B102" i="31"/>
  <c r="D167" i="36"/>
  <c r="B107" i="31"/>
  <c r="D174" i="36"/>
  <c r="B114" i="31"/>
  <c r="D42" i="36"/>
  <c r="W160" i="3"/>
  <c r="B258" i="31"/>
  <c r="D153" i="36"/>
  <c r="B93" i="31"/>
  <c r="D135" i="36"/>
  <c r="B235" i="31"/>
  <c r="D156" i="36"/>
  <c r="B96" i="31"/>
  <c r="D147" i="36"/>
  <c r="B87" i="31"/>
  <c r="D112" i="36"/>
  <c r="E54" i="31"/>
  <c r="D103" i="36"/>
  <c r="D151" i="36"/>
  <c r="B91" i="31"/>
  <c r="D134" i="36"/>
  <c r="B231" i="31"/>
  <c r="D128" i="36"/>
  <c r="B163" i="31"/>
  <c r="D65" i="36"/>
  <c r="D7" i="36"/>
  <c r="C5" i="30"/>
  <c r="D92" i="36"/>
  <c r="D6" i="36"/>
  <c r="D29" i="36"/>
  <c r="W129" i="3"/>
  <c r="D36" i="36"/>
  <c r="W152" i="3"/>
  <c r="B252" i="31"/>
  <c r="D267" i="36"/>
  <c r="D67" i="36"/>
  <c r="AZ93" i="3"/>
  <c r="D61" i="36"/>
  <c r="Z4" i="3"/>
  <c r="Z37" i="3"/>
  <c r="D117" i="36"/>
  <c r="E220" i="31"/>
  <c r="D16" i="36"/>
  <c r="D188" i="36"/>
  <c r="D166" i="36"/>
  <c r="B106" i="31"/>
  <c r="D185" i="36"/>
  <c r="B125" i="31"/>
  <c r="D161" i="36"/>
  <c r="B101" i="31"/>
  <c r="D177" i="36"/>
  <c r="B117" i="31"/>
  <c r="D139" i="36"/>
  <c r="B249" i="31"/>
  <c r="D158" i="36"/>
  <c r="B98" i="31"/>
  <c r="D149" i="36"/>
  <c r="B89" i="31"/>
  <c r="D150" i="36"/>
  <c r="B90" i="31"/>
  <c r="D163" i="36"/>
  <c r="B103" i="31"/>
  <c r="D116" i="36"/>
  <c r="E200" i="31"/>
  <c r="D114" i="36"/>
  <c r="E163" i="31"/>
  <c r="D68" i="36"/>
  <c r="D83" i="36"/>
  <c r="C19" i="34"/>
  <c r="AD3" i="3"/>
  <c r="AD43" i="3"/>
  <c r="D90" i="36"/>
  <c r="L14" i="34"/>
  <c r="D71" i="36"/>
  <c r="D28" i="36"/>
  <c r="W118" i="3"/>
  <c r="D55" i="36"/>
  <c r="AO5" i="3"/>
  <c r="D268" i="36"/>
  <c r="D191" i="36"/>
  <c r="B228" i="31"/>
  <c r="D133" i="36"/>
  <c r="B225" i="31"/>
  <c r="D131" i="36"/>
  <c r="B209" i="31"/>
  <c r="D44" i="36"/>
  <c r="D23" i="36"/>
  <c r="D63" i="36"/>
  <c r="Z8" i="3"/>
  <c r="Z65" i="3"/>
  <c r="D141" i="36"/>
  <c r="B81" i="31"/>
  <c r="D115" i="36"/>
  <c r="E164" i="31"/>
  <c r="D173" i="36"/>
  <c r="B113" i="31"/>
  <c r="D122" i="36"/>
  <c r="D6" i="31"/>
  <c r="D123" i="36"/>
  <c r="D30" i="31"/>
  <c r="D80" i="36"/>
  <c r="B15" i="34"/>
  <c r="D79" i="36"/>
  <c r="B3" i="34"/>
  <c r="D118" i="36"/>
  <c r="E232" i="31"/>
  <c r="D82" i="36"/>
  <c r="B2" i="34"/>
  <c r="D26" i="36"/>
  <c r="AJ100" i="3"/>
  <c r="D45" i="36"/>
  <c r="C5" i="31"/>
  <c r="D121" i="36"/>
  <c r="D86" i="36"/>
  <c r="L6" i="34"/>
  <c r="D96" i="36"/>
  <c r="L27" i="34"/>
  <c r="D59" i="36"/>
  <c r="AS5" i="3"/>
  <c r="AS29" i="3"/>
  <c r="D53" i="36"/>
  <c r="AM5" i="3"/>
  <c r="AM29" i="3"/>
  <c r="B236" i="31"/>
  <c r="D270" i="36"/>
  <c r="D180" i="36"/>
  <c r="B120" i="31"/>
  <c r="D179" i="36"/>
  <c r="B119" i="31"/>
  <c r="D176" i="36"/>
  <c r="B116" i="31"/>
  <c r="D130" i="36"/>
  <c r="B199" i="31"/>
  <c r="D137" i="36"/>
  <c r="B243" i="31"/>
  <c r="D165" i="36"/>
  <c r="B105" i="31"/>
  <c r="D32" i="36"/>
  <c r="W145" i="3"/>
  <c r="D178" i="36"/>
  <c r="B118" i="31"/>
  <c r="D62" i="36"/>
  <c r="Z6" i="3"/>
  <c r="Z55" i="3"/>
  <c r="D170" i="36"/>
  <c r="B110" i="31"/>
  <c r="D50" i="36"/>
  <c r="AM149" i="3"/>
  <c r="D110" i="36"/>
  <c r="E6" i="31"/>
  <c r="D109" i="36"/>
  <c r="E5" i="31"/>
  <c r="D144" i="36"/>
  <c r="B84" i="31"/>
  <c r="D157" i="36"/>
  <c r="B97" i="31"/>
  <c r="D12" i="36"/>
  <c r="AO162" i="3"/>
  <c r="D76" i="36"/>
  <c r="AL115" i="3"/>
  <c r="D75" i="36"/>
  <c r="D74" i="36"/>
  <c r="D73" i="36"/>
  <c r="BD5" i="3"/>
  <c r="W1" i="3"/>
  <c r="Z64" i="3"/>
  <c r="Z81" i="3"/>
  <c r="Z96" i="3"/>
  <c r="Z73" i="3"/>
  <c r="Z80" i="3"/>
  <c r="Z56" i="3"/>
  <c r="Z33" i="3"/>
  <c r="AJ29" i="3"/>
  <c r="AJ21" i="3"/>
  <c r="AJ45" i="3"/>
  <c r="C253" i="31"/>
  <c r="D72" i="36"/>
  <c r="AY3" i="3"/>
  <c r="D273" i="36"/>
  <c r="EU6144" i="34"/>
  <c r="G227" i="36"/>
  <c r="D227" i="36"/>
  <c r="K27" i="6"/>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c r="AA137" i="3"/>
  <c r="D57" i="36"/>
  <c r="AQ5" i="3"/>
  <c r="AQ53" i="3"/>
  <c r="D207" i="36"/>
  <c r="AB8" i="32"/>
  <c r="B3" i="31"/>
  <c r="D247" i="36"/>
  <c r="B24" i="6"/>
  <c r="D243" i="36"/>
  <c r="K43" i="6"/>
  <c r="D249" i="36"/>
  <c r="K49" i="6"/>
  <c r="D245" i="36"/>
  <c r="B36" i="6"/>
  <c r="D241" i="36"/>
  <c r="K41" i="6"/>
  <c r="D237" i="36"/>
  <c r="K37" i="6"/>
  <c r="D233" i="36"/>
  <c r="B29" i="6"/>
  <c r="D229" i="36"/>
  <c r="K29" i="6"/>
  <c r="D239" i="36"/>
  <c r="AB40" i="32"/>
  <c r="AF142" i="3"/>
  <c r="AF51" i="3"/>
  <c r="AF11" i="3"/>
  <c r="AF27" i="3"/>
  <c r="AF43" i="3"/>
  <c r="AF119" i="3"/>
  <c r="AF59" i="3"/>
  <c r="AF83" i="3"/>
  <c r="AF67" i="3"/>
  <c r="AF91" i="3"/>
  <c r="AF75" i="3"/>
  <c r="AL29" i="3"/>
  <c r="AY29" i="3"/>
  <c r="AL77" i="3"/>
  <c r="AY77" i="3"/>
  <c r="AL69" i="3"/>
  <c r="AY69" i="3"/>
  <c r="AY5" i="3"/>
  <c r="Z79" i="3"/>
  <c r="X67" i="3"/>
  <c r="X130" i="3"/>
  <c r="X59" i="3"/>
  <c r="BL5" i="3"/>
  <c r="BL57" i="3"/>
  <c r="Z77" i="3"/>
  <c r="D257" i="36"/>
  <c r="D58" i="36"/>
  <c r="AR5" i="3"/>
  <c r="K3" i="45"/>
  <c r="K11" i="45"/>
  <c r="K19" i="45"/>
  <c r="K27" i="45"/>
  <c r="K35" i="45"/>
  <c r="K43" i="45"/>
  <c r="W3" i="45"/>
  <c r="W11" i="45"/>
  <c r="W19" i="45"/>
  <c r="W27" i="45"/>
  <c r="W35" i="45"/>
  <c r="W43" i="45"/>
  <c r="D224" i="36"/>
  <c r="AB25" i="32"/>
  <c r="D220" i="36"/>
  <c r="B13" i="6"/>
  <c r="A24" i="3"/>
  <c r="D216" i="36"/>
  <c r="AB17" i="32"/>
  <c r="D212" i="36"/>
  <c r="K12" i="6"/>
  <c r="D208" i="36"/>
  <c r="AB9" i="32"/>
  <c r="D204" i="36"/>
  <c r="B39" i="6"/>
  <c r="A78" i="3"/>
  <c r="AY79" i="3"/>
  <c r="AN29" i="3"/>
  <c r="AS45" i="3"/>
  <c r="AM21" i="3"/>
  <c r="AZ13" i="3"/>
  <c r="Z85" i="3"/>
  <c r="D248" i="36"/>
  <c r="AB49" i="32"/>
  <c r="D244" i="36"/>
  <c r="B43" i="6"/>
  <c r="D240" i="36"/>
  <c r="B9" i="6"/>
  <c r="A16" i="3"/>
  <c r="AA16" i="3"/>
  <c r="D236" i="36"/>
  <c r="AB37" i="32"/>
  <c r="D232" i="36"/>
  <c r="B37" i="6"/>
  <c r="A72" i="3"/>
  <c r="AA72" i="3"/>
  <c r="D228" i="36"/>
  <c r="B23" i="6"/>
  <c r="A46" i="3"/>
  <c r="D223" i="36"/>
  <c r="B34" i="6"/>
  <c r="A69" i="3"/>
  <c r="AA68" i="3"/>
  <c r="D219" i="36"/>
  <c r="K19" i="6"/>
  <c r="D215" i="36"/>
  <c r="K15" i="6"/>
  <c r="D211" i="36"/>
  <c r="K11" i="6"/>
  <c r="D203" i="36"/>
  <c r="B32" i="6"/>
  <c r="AM93" i="3"/>
  <c r="D235" i="36"/>
  <c r="K35" i="6"/>
  <c r="D231" i="36"/>
  <c r="K31" i="6"/>
  <c r="AX18" i="45"/>
  <c r="AS53" i="3"/>
  <c r="Z12" i="3"/>
  <c r="Z45" i="3"/>
  <c r="Z97" i="3"/>
  <c r="D226" i="36"/>
  <c r="K26" i="6"/>
  <c r="D222" i="36"/>
  <c r="B14" i="6"/>
  <c r="D218" i="36"/>
  <c r="B21" i="6"/>
  <c r="A40" i="3"/>
  <c r="D214" i="36"/>
  <c r="K14" i="6"/>
  <c r="D210" i="36"/>
  <c r="B31" i="6"/>
  <c r="BD35" i="3"/>
  <c r="D206" i="36"/>
  <c r="B16" i="6"/>
  <c r="D202" i="36"/>
  <c r="AB3" i="32"/>
  <c r="D246" i="36"/>
  <c r="B7" i="6"/>
  <c r="D242" i="36"/>
  <c r="B33" i="6"/>
  <c r="D238" i="36"/>
  <c r="AB39" i="32"/>
  <c r="D234" i="36"/>
  <c r="K34" i="6"/>
  <c r="D230" i="36"/>
  <c r="B11" i="6"/>
  <c r="D225" i="36"/>
  <c r="B12" i="6"/>
  <c r="D221" i="36"/>
  <c r="B30" i="6"/>
  <c r="D217" i="36"/>
  <c r="B19" i="6"/>
  <c r="D213" i="36"/>
  <c r="B45" i="6"/>
  <c r="D209" i="36"/>
  <c r="B10" i="6"/>
  <c r="BD14" i="3"/>
  <c r="D205" i="36"/>
  <c r="K5" i="6"/>
  <c r="AL101" i="3"/>
  <c r="AN85" i="3"/>
  <c r="AT93" i="3"/>
  <c r="X51" i="3"/>
  <c r="AL61" i="3"/>
  <c r="AY61" i="3"/>
  <c r="AN53" i="3"/>
  <c r="AP21" i="3"/>
  <c r="AD51" i="3"/>
  <c r="X91" i="3"/>
  <c r="BE5" i="3"/>
  <c r="BE57" i="3"/>
  <c r="BK5" i="3"/>
  <c r="BK57" i="3"/>
  <c r="Z76" i="3"/>
  <c r="Z53" i="3"/>
  <c r="Z16" i="3"/>
  <c r="AM37" i="3"/>
  <c r="AT77" i="3"/>
  <c r="AF137" i="3"/>
  <c r="AF19" i="3"/>
  <c r="AF35" i="3"/>
  <c r="Z22" i="3"/>
  <c r="Z87" i="3"/>
  <c r="Z23" i="3"/>
  <c r="Z94" i="3"/>
  <c r="Z71" i="3"/>
  <c r="Z47" i="3"/>
  <c r="C257" i="31"/>
  <c r="Z75" i="3"/>
  <c r="Z51" i="3"/>
  <c r="Z67" i="3"/>
  <c r="AT37" i="3"/>
  <c r="Y11" i="3"/>
  <c r="Y27" i="3"/>
  <c r="Y43" i="3"/>
  <c r="Z91" i="3"/>
  <c r="X146" i="3"/>
  <c r="Y130" i="3"/>
  <c r="AT29" i="3"/>
  <c r="X75" i="3"/>
  <c r="Z62" i="3"/>
  <c r="AN101" i="3"/>
  <c r="AN61" i="3"/>
  <c r="AN77" i="3"/>
  <c r="AN37" i="3"/>
  <c r="Y137" i="3"/>
  <c r="AN69" i="3"/>
  <c r="Y83" i="3"/>
  <c r="Z11" i="3"/>
  <c r="Z27" i="3"/>
  <c r="Z43" i="3"/>
  <c r="X119" i="3"/>
  <c r="Z7" i="3"/>
  <c r="AD119" i="3"/>
  <c r="AD75" i="3"/>
  <c r="AD83" i="3"/>
  <c r="AD142" i="3"/>
  <c r="AD67" i="3"/>
  <c r="AC100" i="3"/>
  <c r="AC43" i="3"/>
  <c r="AC51" i="3"/>
  <c r="AC11" i="3"/>
  <c r="Z19" i="3"/>
  <c r="Z35" i="3"/>
  <c r="J3" i="45"/>
  <c r="J11" i="45"/>
  <c r="J19" i="45"/>
  <c r="J27" i="45"/>
  <c r="J35" i="45"/>
  <c r="J43" i="45"/>
  <c r="V3" i="45"/>
  <c r="V11" i="45"/>
  <c r="V19" i="45"/>
  <c r="V27" i="45"/>
  <c r="V35" i="45"/>
  <c r="V43" i="45"/>
  <c r="AT13" i="3"/>
  <c r="AT61" i="3"/>
  <c r="AT101" i="3"/>
  <c r="AT69" i="3"/>
  <c r="AT21" i="3"/>
  <c r="Y146" i="3"/>
  <c r="Y91" i="3"/>
  <c r="Y75" i="3"/>
  <c r="Y67" i="3"/>
  <c r="Y51" i="3"/>
  <c r="Y59" i="3"/>
  <c r="Y19" i="3"/>
  <c r="Y35" i="3"/>
  <c r="X142" i="3"/>
  <c r="X11" i="3"/>
  <c r="X27" i="3"/>
  <c r="X43" i="3"/>
  <c r="X100" i="3"/>
  <c r="X137" i="3"/>
  <c r="X83" i="3"/>
  <c r="X19" i="3"/>
  <c r="X35" i="3"/>
  <c r="AS93" i="3"/>
  <c r="AS101" i="3"/>
  <c r="AO101" i="3"/>
  <c r="AO85" i="3"/>
  <c r="AJ101" i="3"/>
  <c r="AJ69" i="3"/>
  <c r="AL85" i="3"/>
  <c r="AY85" i="3"/>
  <c r="Z57" i="3"/>
  <c r="AL37" i="3"/>
  <c r="AY37" i="3"/>
  <c r="AL45" i="3"/>
  <c r="AY45" i="3"/>
  <c r="AL93" i="3"/>
  <c r="AY93" i="3"/>
  <c r="H3" i="45"/>
  <c r="H11" i="45"/>
  <c r="H19" i="45"/>
  <c r="H27" i="45"/>
  <c r="H35" i="45"/>
  <c r="H43" i="45"/>
  <c r="T3" i="45"/>
  <c r="T11" i="45"/>
  <c r="T19" i="45"/>
  <c r="T27" i="45"/>
  <c r="T35" i="45"/>
  <c r="T43" i="45"/>
  <c r="AF146" i="3"/>
  <c r="AP13" i="3"/>
  <c r="AP61" i="3"/>
  <c r="AP101" i="3"/>
  <c r="AO77" i="3"/>
  <c r="Z59" i="3"/>
  <c r="AJ93" i="3"/>
  <c r="AJ61" i="3"/>
  <c r="AP45" i="3"/>
  <c r="AO45" i="3"/>
  <c r="AO37" i="3"/>
  <c r="BG5" i="3"/>
  <c r="BG57" i="3"/>
  <c r="Z83" i="3"/>
  <c r="Z63" i="3"/>
  <c r="Z70" i="3"/>
  <c r="AJ13" i="3"/>
  <c r="AJ85" i="3"/>
  <c r="AL13" i="3"/>
  <c r="AY13" i="3"/>
  <c r="AL21" i="3"/>
  <c r="AY21" i="3"/>
  <c r="AL53" i="3"/>
  <c r="AY53" i="3"/>
  <c r="AP69" i="3"/>
  <c r="AP77" i="3"/>
  <c r="BH5" i="3"/>
  <c r="BH57" i="3"/>
  <c r="AO93" i="3"/>
  <c r="Z14" i="3"/>
  <c r="AJ77" i="3"/>
  <c r="AJ53" i="3"/>
  <c r="AP85" i="3"/>
  <c r="AP93" i="3"/>
  <c r="AP29" i="3"/>
  <c r="AP37" i="3"/>
  <c r="AO69" i="3"/>
  <c r="AO21" i="3"/>
  <c r="AO53" i="3"/>
  <c r="AF100" i="3"/>
  <c r="AF130" i="3"/>
  <c r="AJ37" i="3"/>
  <c r="Z84" i="3"/>
  <c r="Z31" i="3"/>
  <c r="Z61" i="3"/>
  <c r="AN45" i="3"/>
  <c r="AZ69" i="3"/>
  <c r="Z28" i="3"/>
  <c r="AN13" i="3"/>
  <c r="Z93" i="3"/>
  <c r="BF5" i="3"/>
  <c r="BF57" i="3"/>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AA75" i="3"/>
  <c r="B42" i="6"/>
  <c r="A85" i="3"/>
  <c r="B25" i="6"/>
  <c r="A48" i="3"/>
  <c r="AQ21" i="3"/>
  <c r="AA67" i="3"/>
  <c r="BD57" i="3"/>
  <c r="AA146" i="3"/>
  <c r="AA51" i="3"/>
  <c r="AA91" i="3"/>
  <c r="AA19" i="3"/>
  <c r="AA35" i="3"/>
  <c r="AB46" i="32"/>
  <c r="B47" i="6"/>
  <c r="BD51" i="3"/>
  <c r="AB20" i="32"/>
  <c r="AB38" i="32"/>
  <c r="AQ77" i="3"/>
  <c r="AA83" i="3"/>
  <c r="AA142" i="3"/>
  <c r="AQ37" i="3"/>
  <c r="AQ29" i="3"/>
  <c r="M84" i="34"/>
  <c r="K45" i="6"/>
  <c r="AQ45" i="3"/>
  <c r="AA130" i="3"/>
  <c r="K23" i="6"/>
  <c r="AQ69" i="3"/>
  <c r="AA11" i="3"/>
  <c r="AA27" i="3"/>
  <c r="AA43" i="3"/>
  <c r="AA100" i="3"/>
  <c r="AQ85" i="3"/>
  <c r="B5" i="6"/>
  <c r="BD9" i="3"/>
  <c r="AB50" i="32"/>
  <c r="B40" i="6"/>
  <c r="A79" i="3"/>
  <c r="K7" i="6"/>
  <c r="AA59" i="3"/>
  <c r="AA119" i="3"/>
  <c r="K16" i="6"/>
  <c r="K22" i="6"/>
  <c r="AB42" i="32"/>
  <c r="B17" i="6"/>
  <c r="BD21" i="3"/>
  <c r="K33" i="6"/>
  <c r="B15" i="6"/>
  <c r="A30" i="3"/>
  <c r="AB36" i="32"/>
  <c r="AB34" i="32"/>
  <c r="AB30" i="32"/>
  <c r="K36" i="6"/>
  <c r="AB19" i="32"/>
  <c r="K17" i="6"/>
  <c r="AB18" i="32"/>
  <c r="AB48" i="32"/>
  <c r="B41" i="6"/>
  <c r="BD45" i="3"/>
  <c r="K2" i="6"/>
  <c r="B18" i="6"/>
  <c r="BD22" i="3"/>
  <c r="K47" i="6"/>
  <c r="B48" i="6"/>
  <c r="BD52" i="3"/>
  <c r="AB21" i="32"/>
  <c r="AB47" i="32"/>
  <c r="AQ61" i="3"/>
  <c r="AQ13" i="3"/>
  <c r="AQ93" i="3"/>
  <c r="BI5" i="3"/>
  <c r="BI57" i="3"/>
  <c r="K48" i="6"/>
  <c r="B4" i="6"/>
  <c r="A7" i="3"/>
  <c r="AY8" i="3"/>
  <c r="B20" i="6"/>
  <c r="A39" i="3"/>
  <c r="AB44" i="32"/>
  <c r="AB24" i="32"/>
  <c r="AB31" i="32"/>
  <c r="BD13" i="3"/>
  <c r="BD38" i="3"/>
  <c r="K4" i="6"/>
  <c r="K40" i="6"/>
  <c r="B38" i="6"/>
  <c r="A77" i="3"/>
  <c r="B44" i="6"/>
  <c r="A87" i="3"/>
  <c r="B3" i="6"/>
  <c r="BD7" i="3"/>
  <c r="AB28" i="32"/>
  <c r="AF76" i="3"/>
  <c r="BD43" i="3"/>
  <c r="K39" i="6"/>
  <c r="AB6" i="32"/>
  <c r="B27" i="6"/>
  <c r="A54" i="3"/>
  <c r="AA14" i="3"/>
  <c r="B35" i="6"/>
  <c r="A70" i="3"/>
  <c r="AB13" i="32"/>
  <c r="AB7" i="32"/>
  <c r="AA80" i="3"/>
  <c r="B8" i="6"/>
  <c r="A15" i="3"/>
  <c r="AB11" i="32"/>
  <c r="AB26" i="32"/>
  <c r="AB45" i="32"/>
  <c r="B22" i="6"/>
  <c r="BD26" i="3"/>
  <c r="AB23" i="32"/>
  <c r="AF13" i="3"/>
  <c r="AB16" i="32"/>
  <c r="B28" i="6"/>
  <c r="BD32" i="3"/>
  <c r="K25" i="6"/>
  <c r="B6" i="6"/>
  <c r="BD10" i="3"/>
  <c r="K44" i="6"/>
  <c r="AF79" i="3"/>
  <c r="K18" i="6"/>
  <c r="K8" i="6"/>
  <c r="K10" i="6"/>
  <c r="AB12" i="32"/>
  <c r="AB35" i="32"/>
  <c r="AB5" i="32"/>
  <c r="AB41" i="32"/>
  <c r="AB15" i="32"/>
  <c r="AQ101" i="3"/>
  <c r="K46" i="6"/>
  <c r="B49" i="6"/>
  <c r="BD53" i="3"/>
  <c r="AB14" i="32"/>
  <c r="K21" i="6"/>
  <c r="AY17" i="3"/>
  <c r="K13" i="6"/>
  <c r="AB22" i="32"/>
  <c r="K6" i="6"/>
  <c r="BD25" i="3"/>
  <c r="K38" i="6"/>
  <c r="AB4" i="32"/>
  <c r="K3" i="6"/>
  <c r="K30" i="6"/>
  <c r="B46" i="6"/>
  <c r="A93" i="3"/>
  <c r="K32" i="6"/>
  <c r="AB32" i="32"/>
  <c r="AB27" i="32"/>
  <c r="BD27" i="3"/>
  <c r="AB33" i="32"/>
  <c r="K24" i="6"/>
  <c r="AB29" i="32"/>
  <c r="B2" i="6"/>
  <c r="A5" i="3"/>
  <c r="AY6" i="3"/>
  <c r="K9" i="6"/>
  <c r="K28" i="6"/>
  <c r="AB10" i="32"/>
  <c r="AB43" i="32"/>
  <c r="K20" i="6"/>
  <c r="K42" i="6"/>
  <c r="B26" i="6"/>
  <c r="BD30" i="3"/>
  <c r="AR85" i="3"/>
  <c r="AR61" i="3"/>
  <c r="AR21" i="3"/>
  <c r="AR69" i="3"/>
  <c r="AR13" i="3"/>
  <c r="AR29" i="3"/>
  <c r="AR53" i="3"/>
  <c r="AR45" i="3"/>
  <c r="AR101" i="3"/>
  <c r="BJ5" i="3"/>
  <c r="BJ57" i="3"/>
  <c r="AR37" i="3"/>
  <c r="AR77" i="3"/>
  <c r="AR93" i="3"/>
  <c r="AY70" i="3"/>
  <c r="AA71" i="3"/>
  <c r="BD17" i="3"/>
  <c r="A21" i="3"/>
  <c r="AA20" i="3"/>
  <c r="AA70" i="3"/>
  <c r="AF72" i="3"/>
  <c r="AF69" i="3"/>
  <c r="AY73" i="3"/>
  <c r="A62" i="3"/>
  <c r="AA64" i="3"/>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c r="AG155" i="3"/>
  <c r="AG159" i="3"/>
  <c r="AG160" i="3"/>
  <c r="AG154" i="3"/>
  <c r="C255" i="31"/>
  <c r="AG156" i="3"/>
  <c r="AJ12" i="3"/>
  <c r="AJ20" i="3"/>
  <c r="AJ60" i="3"/>
  <c r="AJ28" i="3"/>
  <c r="AJ44" i="3"/>
  <c r="AJ36" i="3"/>
  <c r="AJ76" i="3"/>
  <c r="AJ52" i="3"/>
  <c r="AJ84" i="3"/>
  <c r="AJ4" i="3"/>
  <c r="AJ68" i="3"/>
  <c r="AJ92" i="3"/>
  <c r="BD29" i="3"/>
  <c r="BC29" i="3"/>
  <c r="BD46" i="3"/>
  <c r="BC46" i="3"/>
  <c r="BD44" i="3"/>
  <c r="BC44" i="3"/>
  <c r="R30" i="45"/>
  <c r="R27" i="45"/>
  <c r="C13" i="45"/>
  <c r="F12" i="45"/>
  <c r="BD19" i="3"/>
  <c r="BC19" i="3"/>
  <c r="A94" i="3"/>
  <c r="AY95" i="3"/>
  <c r="A8" i="3"/>
  <c r="AF5" i="3"/>
  <c r="A80" i="3"/>
  <c r="AF77" i="3"/>
  <c r="A32" i="3"/>
  <c r="AA31" i="3"/>
  <c r="A95" i="3"/>
  <c r="AF97" i="3"/>
  <c r="A37" i="3"/>
  <c r="AA36" i="3"/>
  <c r="BD8" i="3"/>
  <c r="BC8" i="3"/>
  <c r="AF9" i="3"/>
  <c r="AA5" i="3"/>
  <c r="BD24" i="3"/>
  <c r="BC24" i="3"/>
  <c r="AB80" i="3" a="1"/>
  <c r="AB80" i="3"/>
  <c r="AE76" i="3" a="1"/>
  <c r="AE76" i="3"/>
  <c r="BD48" i="3"/>
  <c r="BC48" i="3"/>
  <c r="BD42" i="3"/>
  <c r="BC42" i="3"/>
  <c r="AF7" i="3"/>
  <c r="BD31" i="3"/>
  <c r="BC31" i="3"/>
  <c r="A6" i="3"/>
  <c r="AF4" i="3"/>
  <c r="BD50" i="3"/>
  <c r="BC50" i="3"/>
  <c r="A13" i="3"/>
  <c r="AA12" i="3"/>
  <c r="BC22" i="3"/>
  <c r="BC17" i="3"/>
  <c r="BD6" i="3"/>
  <c r="BC15" i="3"/>
  <c r="O31" i="45"/>
  <c r="A45" i="3"/>
  <c r="AA46" i="3"/>
  <c r="AF8" i="3"/>
  <c r="BD39" i="3"/>
  <c r="BC39" i="3"/>
  <c r="AA7" i="3"/>
  <c r="BD12" i="3"/>
  <c r="BC12" i="3"/>
  <c r="A96" i="3"/>
  <c r="AA95" i="3"/>
  <c r="A55" i="3"/>
  <c r="AF56" i="3"/>
  <c r="BC26" i="3"/>
  <c r="BC27" i="3"/>
  <c r="BC18" i="3"/>
  <c r="AE79" i="3" a="1"/>
  <c r="AE79" i="3"/>
  <c r="AI31" i="32"/>
  <c r="BC10" i="3"/>
  <c r="AI8" i="32"/>
  <c r="AB22" i="3" a="1"/>
  <c r="AB22" i="3"/>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c r="AI36" i="32"/>
  <c r="S86" i="32"/>
  <c r="R61" i="32"/>
  <c r="R58" i="32"/>
  <c r="T54" i="32"/>
  <c r="T75" i="32"/>
  <c r="R66" i="32"/>
  <c r="S68" i="32"/>
  <c r="AB24" i="3" a="1"/>
  <c r="AB24" i="3"/>
  <c r="AI17" i="32"/>
  <c r="S61" i="32"/>
  <c r="AI11" i="32"/>
  <c r="T66" i="32"/>
  <c r="R70" i="32"/>
  <c r="T71" i="32"/>
  <c r="R80" i="32"/>
  <c r="T55" i="32"/>
  <c r="AI9" i="32"/>
  <c r="S82" i="32"/>
  <c r="AI19" i="32"/>
  <c r="S60" i="32"/>
  <c r="AI3" i="32"/>
  <c r="S77" i="32"/>
  <c r="R60" i="32"/>
  <c r="T82" i="32"/>
  <c r="R86" i="32"/>
  <c r="AB71" i="3" a="1"/>
  <c r="AB71" i="3"/>
  <c r="AE13" i="3" a="1"/>
  <c r="AE13" i="3"/>
  <c r="AB14" i="3" a="1"/>
  <c r="AB14" i="3"/>
  <c r="AB64" i="3" a="1"/>
  <c r="AB64" i="3"/>
  <c r="AB20" i="3" a="1"/>
  <c r="AB20" i="3"/>
  <c r="A53" i="3"/>
  <c r="AY54" i="3"/>
  <c r="AB72" i="3" a="1"/>
  <c r="AB72" i="3"/>
  <c r="R23" i="45"/>
  <c r="AE72" i="3" a="1"/>
  <c r="AE72" i="3"/>
  <c r="R20" i="45"/>
  <c r="AE69" i="3" a="1"/>
  <c r="AE69" i="3"/>
  <c r="F36" i="45"/>
  <c r="AE37" i="3" a="1"/>
  <c r="AE37" i="3"/>
  <c r="F43" i="45"/>
  <c r="AE44" i="3" a="1"/>
  <c r="AE44" i="3"/>
  <c r="F46" i="45"/>
  <c r="AE47" i="3" a="1"/>
  <c r="AE47" i="3"/>
  <c r="O22" i="45"/>
  <c r="C40" i="45"/>
  <c r="AB41" i="3" a="1"/>
  <c r="AB41" i="3"/>
  <c r="C47" i="45"/>
  <c r="AB48" i="3" a="1"/>
  <c r="AB48" i="3"/>
  <c r="O21" i="45"/>
  <c r="AB70" i="3" a="1"/>
  <c r="AB70" i="3"/>
  <c r="C38" i="45"/>
  <c r="AB39" i="3" a="1"/>
  <c r="AB39" i="3"/>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c r="AA32" i="3"/>
  <c r="AY33" i="3"/>
  <c r="AY96" i="3"/>
  <c r="AA93" i="3"/>
  <c r="AB93" i="3" a="1"/>
  <c r="AB93" i="3"/>
  <c r="AA97" i="3"/>
  <c r="AB97" i="3" a="1"/>
  <c r="AB97" i="3"/>
  <c r="AF95" i="3"/>
  <c r="R46" i="45"/>
  <c r="AF92" i="3"/>
  <c r="AE92" i="3" a="1"/>
  <c r="AE92" i="3"/>
  <c r="AA6" i="3"/>
  <c r="AB6" i="3" a="1"/>
  <c r="AB6" i="3"/>
  <c r="AY81" i="3"/>
  <c r="AB88" i="3" a="1"/>
  <c r="AB88" i="3"/>
  <c r="AB84" i="3" a="1"/>
  <c r="AB84" i="3"/>
  <c r="AE86" i="3" a="1"/>
  <c r="AE86" i="3"/>
  <c r="AE87" i="3" a="1"/>
  <c r="AE87" i="3"/>
  <c r="AE85" i="3" a="1"/>
  <c r="AE85" i="3"/>
  <c r="AE88" i="3" a="1"/>
  <c r="AE88" i="3"/>
  <c r="AE84" i="3" a="1"/>
  <c r="AE84" i="3"/>
  <c r="AB86" i="3" a="1"/>
  <c r="AB86" i="3"/>
  <c r="AE89" i="3" a="1"/>
  <c r="AE89" i="3"/>
  <c r="AB89" i="3" a="1"/>
  <c r="AB89" i="3"/>
  <c r="AB85" i="3" a="1"/>
  <c r="AB85" i="3"/>
  <c r="AB94" i="3" a="1"/>
  <c r="AB94" i="3"/>
  <c r="AE96" i="3" a="1"/>
  <c r="AE96" i="3"/>
  <c r="AB95" i="3" a="1"/>
  <c r="AB95" i="3"/>
  <c r="AE97" i="3" a="1"/>
  <c r="AE97" i="3"/>
  <c r="AB87" i="3" a="1"/>
  <c r="AB87" i="3"/>
  <c r="AE48" i="3" a="1"/>
  <c r="AE48" i="3"/>
  <c r="AB47" i="3" a="1"/>
  <c r="AB47" i="3"/>
  <c r="AB61" i="3" a="1"/>
  <c r="AB61" i="3"/>
  <c r="AE63" i="3" a="1"/>
  <c r="AE63" i="3"/>
  <c r="AE70" i="3" a="1"/>
  <c r="AE70" i="3"/>
  <c r="AB45" i="3" a="1"/>
  <c r="AB45" i="3"/>
  <c r="AB62" i="3" a="1"/>
  <c r="AB62" i="3"/>
  <c r="AE62" i="3" a="1"/>
  <c r="AE62" i="3"/>
  <c r="AE60" i="3" a="1"/>
  <c r="AE60" i="3"/>
  <c r="AE45" i="3" a="1"/>
  <c r="AE45" i="3"/>
  <c r="AB49" i="3" a="1"/>
  <c r="AB49" i="3"/>
  <c r="AE73" i="3" a="1"/>
  <c r="AE73" i="3"/>
  <c r="AB60" i="3" a="1"/>
  <c r="AB60" i="3"/>
  <c r="AB78" i="3" a="1"/>
  <c r="AB78" i="3"/>
  <c r="AE65" i="3" a="1"/>
  <c r="AE65" i="3"/>
  <c r="AB76" i="3" a="1"/>
  <c r="AB76" i="3"/>
  <c r="AB77" i="3" a="1"/>
  <c r="AB77" i="3"/>
  <c r="AB63" i="3" a="1"/>
  <c r="AB63" i="3"/>
  <c r="AE77" i="3" a="1"/>
  <c r="AE77" i="3"/>
  <c r="AB69" i="3" a="1"/>
  <c r="AB69" i="3"/>
  <c r="AE81" i="3" a="1"/>
  <c r="AE81" i="3"/>
  <c r="AE68" i="3" a="1"/>
  <c r="AE68" i="3"/>
  <c r="AE80" i="3" a="1"/>
  <c r="AE80" i="3"/>
  <c r="AE61" i="3" a="1"/>
  <c r="AE61" i="3"/>
  <c r="AE46" i="3" a="1"/>
  <c r="AE46" i="3"/>
  <c r="AB73" i="3" a="1"/>
  <c r="AB73" i="3"/>
  <c r="AB46" i="3" a="1"/>
  <c r="AB46" i="3"/>
  <c r="AE71" i="3" a="1"/>
  <c r="AE71" i="3"/>
  <c r="AE78" i="3" a="1"/>
  <c r="AE78" i="3"/>
  <c r="AB65" i="3" a="1"/>
  <c r="AB65" i="3"/>
  <c r="AF94" i="3"/>
  <c r="R45" i="45"/>
  <c r="AE32" i="3" a="1"/>
  <c r="AE32" i="3"/>
  <c r="AE39" i="3" a="1"/>
  <c r="AE39" i="3"/>
  <c r="AA79" i="3"/>
  <c r="B49" i="31"/>
  <c r="AB31" i="3" a="1"/>
  <c r="AB31" i="3"/>
  <c r="AB28" i="3" a="1"/>
  <c r="AB28" i="3"/>
  <c r="AB32" i="3" a="1"/>
  <c r="AB32" i="3"/>
  <c r="AA81" i="3"/>
  <c r="O32" i="45"/>
  <c r="F23" i="45"/>
  <c r="AE36" i="3" a="1"/>
  <c r="AE36" i="3"/>
  <c r="AE33" i="3" a="1"/>
  <c r="AE33" i="3"/>
  <c r="AA8" i="3"/>
  <c r="B54" i="31"/>
  <c r="AE25" i="3" a="1"/>
  <c r="AE25" i="3"/>
  <c r="AY9" i="3"/>
  <c r="AE40" i="3" a="1"/>
  <c r="AE40" i="3"/>
  <c r="AE23" i="3" a="1"/>
  <c r="AE23" i="3"/>
  <c r="AB40" i="3" a="1"/>
  <c r="AB40" i="3"/>
  <c r="AB29" i="3" a="1"/>
  <c r="AB29" i="3"/>
  <c r="AE30" i="3" a="1"/>
  <c r="AE30" i="3"/>
  <c r="AB25" i="3" a="1"/>
  <c r="AB25" i="3"/>
  <c r="AB33" i="3" a="1"/>
  <c r="AB33" i="3"/>
  <c r="AE38" i="3" a="1"/>
  <c r="AE38" i="3"/>
  <c r="AB36" i="3" a="1"/>
  <c r="AB36" i="3"/>
  <c r="AE28" i="3" a="1"/>
  <c r="AE28" i="3"/>
  <c r="AB21" i="3" a="1"/>
  <c r="AB21" i="3"/>
  <c r="AE29" i="3" a="1"/>
  <c r="AE29" i="3"/>
  <c r="AB30" i="3" a="1"/>
  <c r="AB30" i="3"/>
  <c r="AE31" i="3" a="1"/>
  <c r="AE31" i="3"/>
  <c r="AB37" i="3" a="1"/>
  <c r="AB37" i="3"/>
  <c r="AE17" i="3" a="1"/>
  <c r="AE17" i="3"/>
  <c r="AB13" i="3" a="1"/>
  <c r="AB13" i="3"/>
  <c r="BC6" i="3"/>
  <c r="AE14" i="3" a="1"/>
  <c r="AE14" i="3"/>
  <c r="AE12" i="3" a="1"/>
  <c r="AE12" i="3"/>
  <c r="AB12" i="3" a="1"/>
  <c r="AB12" i="3"/>
  <c r="AB17" i="3" a="1"/>
  <c r="AB17" i="3"/>
  <c r="AE15" i="3" a="1"/>
  <c r="AE15" i="3"/>
  <c r="F8" i="45"/>
  <c r="AE8" i="3" a="1"/>
  <c r="AE8" i="3"/>
  <c r="AB7" i="3" a="1"/>
  <c r="AB7" i="3"/>
  <c r="AE5" i="3" a="1"/>
  <c r="AE5" i="3"/>
  <c r="AB5" i="3" a="1"/>
  <c r="AB5" i="3"/>
  <c r="AB4" i="3" a="1"/>
  <c r="AB4" i="3"/>
  <c r="AE4" i="3" a="1"/>
  <c r="AE4" i="3"/>
  <c r="AA38" i="3"/>
  <c r="AF41" i="3"/>
  <c r="AY38" i="3"/>
  <c r="C35" i="45"/>
  <c r="AB56" i="3" a="1"/>
  <c r="AB56" i="3"/>
  <c r="AE56" i="3" a="1"/>
  <c r="AE56" i="3"/>
  <c r="AE53" i="3" a="1"/>
  <c r="AE53" i="3"/>
  <c r="AE52" i="3" a="1"/>
  <c r="AE52" i="3"/>
  <c r="AE55" i="3" a="1"/>
  <c r="AE55" i="3"/>
  <c r="AB55" i="3" a="1"/>
  <c r="AB55" i="3"/>
  <c r="AB57" i="3" a="1"/>
  <c r="AB57" i="3"/>
  <c r="F7" i="45"/>
  <c r="AE9" i="3" a="1"/>
  <c r="AE9" i="3"/>
  <c r="C4" i="45"/>
  <c r="AF93" i="3"/>
  <c r="AA96" i="3"/>
  <c r="C6" i="45"/>
  <c r="AY97" i="3"/>
  <c r="B31" i="31"/>
  <c r="AB92" i="3" a="1"/>
  <c r="AB92" i="3"/>
  <c r="AE7" i="3" a="1"/>
  <c r="AE7" i="3"/>
  <c r="F6" i="45"/>
  <c r="AA44" i="3"/>
  <c r="AF6" i="3"/>
  <c r="AF49" i="3"/>
  <c r="AA9" i="3"/>
  <c r="AY46" i="3"/>
  <c r="AY7" i="3"/>
  <c r="F3" i="45"/>
  <c r="Q18" i="32"/>
  <c r="R18" i="32"/>
  <c r="AA15" i="3"/>
  <c r="AF16" i="3"/>
  <c r="AY14" i="3"/>
  <c r="AF54" i="3"/>
  <c r="AY56" i="3"/>
  <c r="AA53" i="3"/>
  <c r="Q7" i="32"/>
  <c r="BG8" i="45"/>
  <c r="Q3" i="32"/>
  <c r="R3" i="32"/>
  <c r="B6" i="31"/>
  <c r="C3" i="45"/>
  <c r="Q11" i="32"/>
  <c r="R11" i="32"/>
  <c r="Q37" i="32"/>
  <c r="T37" i="32"/>
  <c r="Q12" i="32"/>
  <c r="BG13" i="45"/>
  <c r="Q16" i="32"/>
  <c r="R16" i="32"/>
  <c r="Q15" i="32"/>
  <c r="S15" i="32"/>
  <c r="Q14" i="32"/>
  <c r="R14" i="32"/>
  <c r="Q27" i="32"/>
  <c r="S27" i="32"/>
  <c r="Q17" i="32"/>
  <c r="T17" i="32"/>
  <c r="Q21" i="32"/>
  <c r="T21" i="32"/>
  <c r="Q24" i="32"/>
  <c r="X24" i="32"/>
  <c r="Q8" i="32"/>
  <c r="T8" i="32"/>
  <c r="Q22" i="32"/>
  <c r="T22" i="32"/>
  <c r="Q5" i="32"/>
  <c r="R5" i="32"/>
  <c r="Q19" i="32"/>
  <c r="BG20" i="45"/>
  <c r="Q20" i="32"/>
  <c r="T20" i="32"/>
  <c r="Q23" i="32"/>
  <c r="S23" i="32"/>
  <c r="Q25" i="32"/>
  <c r="T25" i="32"/>
  <c r="Q10" i="32"/>
  <c r="BG11" i="45"/>
  <c r="Q33" i="32"/>
  <c r="S33" i="32"/>
  <c r="Q13" i="32"/>
  <c r="BG14" i="45"/>
  <c r="Q4" i="32"/>
  <c r="T4" i="32"/>
  <c r="Q9" i="32"/>
  <c r="T9" i="32"/>
  <c r="Q28" i="32"/>
  <c r="X28" i="32"/>
  <c r="Q26" i="32"/>
  <c r="BG27" i="45"/>
  <c r="Q6" i="32"/>
  <c r="T6" i="32"/>
  <c r="Q46" i="32"/>
  <c r="T46" i="32"/>
  <c r="Q29" i="32"/>
  <c r="T29" i="32"/>
  <c r="Q38" i="32"/>
  <c r="X38" i="32"/>
  <c r="Q42" i="32"/>
  <c r="BG43" i="45"/>
  <c r="Q34" i="32"/>
  <c r="BG35" i="45"/>
  <c r="Q45" i="32"/>
  <c r="S45" i="32"/>
  <c r="Q49" i="32"/>
  <c r="X49" i="32"/>
  <c r="Q40" i="32"/>
  <c r="T40" i="32"/>
  <c r="Q36" i="32"/>
  <c r="T36" i="32"/>
  <c r="Q47" i="32"/>
  <c r="R47" i="32"/>
  <c r="Q39" i="32"/>
  <c r="BG40" i="45"/>
  <c r="Q50" i="32"/>
  <c r="S50" i="32"/>
  <c r="Q32" i="32"/>
  <c r="R32" i="32"/>
  <c r="Q35" i="32"/>
  <c r="T35" i="32"/>
  <c r="Q44" i="32"/>
  <c r="X44" i="32"/>
  <c r="Q31" i="32"/>
  <c r="T31" i="32"/>
  <c r="Q48" i="32"/>
  <c r="R48" i="32"/>
  <c r="Q41" i="32"/>
  <c r="T41" i="32"/>
  <c r="Q43" i="32"/>
  <c r="X43" i="32"/>
  <c r="Q30" i="32"/>
  <c r="R30" i="32"/>
  <c r="AF57" i="3"/>
  <c r="AA54" i="3"/>
  <c r="AA52" i="3"/>
  <c r="B68" i="31"/>
  <c r="AE64" i="3" a="1"/>
  <c r="AE64" i="3"/>
  <c r="B10" i="31"/>
  <c r="AE20" i="3" a="1"/>
  <c r="AE20" i="3"/>
  <c r="B34" i="31"/>
  <c r="AE22" i="3" a="1"/>
  <c r="AE22" i="3"/>
  <c r="B58" i="31"/>
  <c r="AE24" i="3" a="1"/>
  <c r="AE24" i="3"/>
  <c r="C22" i="45"/>
  <c r="AB23" i="3" a="1"/>
  <c r="AB23" i="3"/>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c r="O44" i="45"/>
  <c r="B77" i="31"/>
  <c r="AE95" i="3" a="1"/>
  <c r="AE95" i="3"/>
  <c r="C5" i="45"/>
  <c r="B53" i="31"/>
  <c r="B28" i="31"/>
  <c r="O48" i="45"/>
  <c r="B73" i="31"/>
  <c r="B52" i="31"/>
  <c r="O30" i="45"/>
  <c r="AB8" i="3" a="1"/>
  <c r="AB8" i="3"/>
  <c r="C7" i="45"/>
  <c r="AE93" i="3" a="1"/>
  <c r="AE93" i="3"/>
  <c r="AE94" i="3" a="1"/>
  <c r="AE94" i="3"/>
  <c r="AB96" i="3" a="1"/>
  <c r="AB96" i="3"/>
  <c r="AE49" i="3" a="1"/>
  <c r="AE49" i="3"/>
  <c r="AB81" i="3" a="1"/>
  <c r="AB81" i="3"/>
  <c r="AB79" i="3" a="1"/>
  <c r="AB79" i="3"/>
  <c r="F40" i="45"/>
  <c r="AB38" i="3" a="1"/>
  <c r="AB38" i="3"/>
  <c r="AE16" i="3" a="1"/>
  <c r="AE16" i="3"/>
  <c r="AB15" i="3" a="1"/>
  <c r="AB15" i="3"/>
  <c r="AB9" i="3" a="1"/>
  <c r="AB9" i="3"/>
  <c r="F5" i="45"/>
  <c r="B63" i="31"/>
  <c r="B30" i="31"/>
  <c r="B38" i="31"/>
  <c r="AE41" i="3" a="1"/>
  <c r="AE41" i="3"/>
  <c r="AB44" i="3" a="1"/>
  <c r="AB44" i="3"/>
  <c r="C37" i="45"/>
  <c r="B29" i="31"/>
  <c r="O47" i="45"/>
  <c r="AE54" i="3" a="1"/>
  <c r="AE54" i="3"/>
  <c r="AB54" i="3" a="1"/>
  <c r="AB54" i="3"/>
  <c r="AB53" i="3" a="1"/>
  <c r="AB53" i="3"/>
  <c r="R44" i="45"/>
  <c r="B76" i="31"/>
  <c r="R8" i="45"/>
  <c r="F15" i="45"/>
  <c r="B56" i="31"/>
  <c r="S17" i="32"/>
  <c r="C43" i="45"/>
  <c r="B33" i="31"/>
  <c r="X27" i="32"/>
  <c r="C14" i="45"/>
  <c r="BI37" i="3"/>
  <c r="AE6" i="3" a="1"/>
  <c r="AE6" i="3"/>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c r="BK49" i="3"/>
  <c r="BG45" i="3"/>
  <c r="BG31" i="3"/>
  <c r="BJ31" i="3"/>
  <c r="BI23" i="3"/>
  <c r="BH9" i="3"/>
  <c r="T49" i="32"/>
  <c r="BH33" i="3"/>
  <c r="BH53" i="3"/>
  <c r="BJ20" i="3"/>
  <c r="BL20" i="3"/>
  <c r="BG44" i="3"/>
  <c r="BH44" i="3"/>
  <c r="BH10" i="3"/>
  <c r="BJ37" i="3"/>
  <c r="BK28" i="3"/>
  <c r="BI16" i="3"/>
  <c r="S31" i="32"/>
  <c r="R21" i="32"/>
  <c r="X31" i="32"/>
  <c r="S6" i="32"/>
  <c r="S21" i="32"/>
  <c r="S40" i="32"/>
  <c r="BG32" i="45"/>
  <c r="R6" i="32"/>
  <c r="BG22" i="45"/>
  <c r="R40" i="32"/>
  <c r="X6" i="32"/>
  <c r="X40" i="32"/>
  <c r="S25" i="32"/>
  <c r="R36" i="32"/>
  <c r="AB52" i="3" a="1"/>
  <c r="AB52" i="3"/>
  <c r="BJ41" i="3"/>
  <c r="BH11" i="3"/>
  <c r="BG37" i="45"/>
  <c r="BG51" i="3"/>
  <c r="BJ50" i="3"/>
  <c r="BH27" i="3"/>
  <c r="BH24" i="3"/>
  <c r="BJ47" i="3"/>
  <c r="BJ36" i="3"/>
  <c r="BH25" i="3"/>
  <c r="BK46" i="3"/>
  <c r="BG49" i="3"/>
  <c r="BI21" i="3"/>
  <c r="O3" i="45"/>
  <c r="S46" i="32"/>
  <c r="S48" i="32"/>
  <c r="BJ9" i="3"/>
  <c r="BL9" i="3"/>
  <c r="S10" i="32"/>
  <c r="BG21" i="3"/>
  <c r="X36" i="32"/>
  <c r="BG26" i="45"/>
  <c r="BK52" i="3"/>
  <c r="BG14" i="3"/>
  <c r="BJ32" i="3"/>
  <c r="BJ15" i="3"/>
  <c r="BH12" i="3"/>
  <c r="BH39" i="3"/>
  <c r="BG18" i="3"/>
  <c r="BJ26" i="3"/>
  <c r="BL26" i="3"/>
  <c r="BH43" i="3"/>
  <c r="BJ7" i="3"/>
  <c r="BJ38" i="3"/>
  <c r="BH18" i="3"/>
  <c r="BG53" i="3"/>
  <c r="BJ33" i="3"/>
  <c r="BI29" i="3"/>
  <c r="BG52" i="3"/>
  <c r="O5" i="45"/>
  <c r="X48" i="32"/>
  <c r="BG47" i="45"/>
  <c r="BH34" i="3"/>
  <c r="BG29" i="3"/>
  <c r="T48" i="32"/>
  <c r="BG48" i="3"/>
  <c r="BE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c r="BE53" i="3"/>
  <c r="BL41" i="3"/>
  <c r="BL6" i="3"/>
  <c r="BL17" i="3"/>
  <c r="BL45" i="3"/>
  <c r="BL36" i="3"/>
  <c r="BE16" i="3"/>
  <c r="BF37" i="3"/>
  <c r="BO37" i="3"/>
  <c r="BL15" i="3"/>
  <c r="BL12" i="3"/>
  <c r="BL48" i="3"/>
  <c r="BL52" i="3"/>
  <c r="M2" i="32"/>
  <c r="AH82" i="32"/>
  <c r="N2" i="32"/>
  <c r="BL7" i="3"/>
  <c r="BE43" i="3"/>
  <c r="BE21" i="3"/>
  <c r="BL14" i="3"/>
  <c r="BE51" i="3"/>
  <c r="BL13" i="3"/>
  <c r="BL46" i="3"/>
  <c r="BL29" i="3"/>
  <c r="BE37" i="3"/>
  <c r="BE44" i="3"/>
  <c r="BL10" i="3"/>
  <c r="BF19" i="3"/>
  <c r="BO19" i="3"/>
  <c r="BL11" i="3"/>
  <c r="BE23" i="3"/>
  <c r="BL50" i="3"/>
  <c r="BL42" i="3"/>
  <c r="BL22" i="3"/>
  <c r="BE28" i="3"/>
  <c r="BL47" i="3"/>
  <c r="BL37" i="3"/>
  <c r="BL43" i="3"/>
  <c r="BL40" i="3"/>
  <c r="BF35" i="3"/>
  <c r="BO35" i="3"/>
  <c r="BF28" i="3"/>
  <c r="BO28" i="3"/>
  <c r="BF25" i="3"/>
  <c r="BO25" i="3"/>
  <c r="BL49" i="3"/>
  <c r="BL51" i="3"/>
  <c r="BL38" i="3"/>
  <c r="BL34" i="3"/>
  <c r="BL25" i="3"/>
  <c r="BE11" i="3"/>
  <c r="BL24" i="3"/>
  <c r="BL18" i="3"/>
  <c r="BF13" i="3"/>
  <c r="BO13" i="3"/>
  <c r="BE31" i="3"/>
  <c r="BE41" i="3"/>
  <c r="BL16" i="3"/>
  <c r="BL27" i="3"/>
  <c r="BL8" i="3"/>
  <c r="BL19" i="3"/>
  <c r="BL30" i="3"/>
  <c r="BE29" i="3"/>
  <c r="BL32" i="3"/>
  <c r="BL39" i="3"/>
  <c r="BL33" i="3"/>
  <c r="BE7" i="3"/>
  <c r="BF30" i="3"/>
  <c r="BO30" i="3"/>
  <c r="BL23" i="3"/>
  <c r="BE52" i="3"/>
  <c r="BE45" i="3"/>
  <c r="BF21" i="3"/>
  <c r="BO21" i="3"/>
  <c r="BE25" i="3"/>
  <c r="BE50" i="3"/>
  <c r="BF16" i="3"/>
  <c r="BO16" i="3"/>
  <c r="BE47" i="3"/>
  <c r="BE32" i="3"/>
  <c r="BF32" i="3"/>
  <c r="BO32" i="3"/>
  <c r="BF43" i="3"/>
  <c r="BO43" i="3"/>
  <c r="BF53" i="3"/>
  <c r="BO53" i="3"/>
  <c r="BL53" i="3"/>
  <c r="BE38" i="3"/>
  <c r="BF52" i="3"/>
  <c r="BO52" i="3"/>
  <c r="BF45" i="3"/>
  <c r="BO45" i="3"/>
  <c r="BE8" i="3"/>
  <c r="BF39" i="3"/>
  <c r="BO39" i="3"/>
  <c r="BF23" i="3"/>
  <c r="BO23" i="3"/>
  <c r="BF41" i="3"/>
  <c r="BO41" i="3"/>
  <c r="BF46" i="3"/>
  <c r="BO46" i="3"/>
  <c r="BE33" i="3"/>
  <c r="BL21" i="3"/>
  <c r="BE15" i="3"/>
  <c r="BF14" i="3"/>
  <c r="BO14" i="3"/>
  <c r="BF9" i="3"/>
  <c r="BO9" i="3"/>
  <c r="C3" i="32"/>
  <c r="BE12" i="3"/>
  <c r="BL28" i="3"/>
  <c r="BF6" i="3"/>
  <c r="BO6" i="3"/>
  <c r="BF40" i="3"/>
  <c r="BO40" i="3"/>
  <c r="BE27" i="3"/>
  <c r="BL31" i="3"/>
  <c r="BE13" i="3"/>
  <c r="BF38" i="3"/>
  <c r="BO38" i="3"/>
  <c r="BF44" i="3"/>
  <c r="BO44" i="3"/>
  <c r="BF50" i="3"/>
  <c r="BO50" i="3"/>
  <c r="BE30" i="3"/>
  <c r="BE40" i="3"/>
  <c r="BF36" i="3"/>
  <c r="BO36" i="3"/>
  <c r="BE49" i="3"/>
  <c r="BF31" i="3"/>
  <c r="BO31" i="3"/>
  <c r="BE20" i="3"/>
  <c r="BF47" i="3"/>
  <c r="BO47" i="3"/>
  <c r="BF22" i="3"/>
  <c r="BO22" i="3"/>
  <c r="BE26" i="3"/>
  <c r="BE10" i="3"/>
  <c r="BE34" i="3"/>
  <c r="BF12" i="3"/>
  <c r="BO12" i="3"/>
  <c r="BE9" i="3"/>
  <c r="BE39" i="3"/>
  <c r="BL44" i="3"/>
  <c r="BE6" i="3"/>
  <c r="BF8" i="3"/>
  <c r="BO8" i="3"/>
  <c r="BF27" i="3"/>
  <c r="BO27" i="3"/>
  <c r="BE14" i="3"/>
  <c r="BF24" i="3"/>
  <c r="BO24" i="3"/>
  <c r="BF18" i="3"/>
  <c r="BO18" i="3"/>
  <c r="BF49" i="3"/>
  <c r="BO49" i="3"/>
  <c r="BE46" i="3"/>
  <c r="BE35" i="3"/>
  <c r="BF48" i="3"/>
  <c r="BO48" i="3"/>
  <c r="BF10" i="3"/>
  <c r="BO10" i="3"/>
  <c r="BE18" i="3"/>
  <c r="BF26" i="3"/>
  <c r="BO26" i="3"/>
  <c r="BF17" i="3"/>
  <c r="BO17" i="3"/>
  <c r="BF29" i="3"/>
  <c r="BO29" i="3"/>
  <c r="BE19" i="3"/>
  <c r="BE42" i="3"/>
  <c r="BE17" i="3"/>
  <c r="BF51" i="3"/>
  <c r="BO51" i="3"/>
  <c r="BF42" i="3"/>
  <c r="BO42" i="3"/>
  <c r="BE24" i="3"/>
  <c r="BF20" i="3"/>
  <c r="BO20" i="3"/>
  <c r="BE22" i="3"/>
  <c r="BF15" i="3"/>
  <c r="BO15" i="3"/>
  <c r="BE36" i="3"/>
  <c r="BF34" i="3"/>
  <c r="BO34" i="3"/>
  <c r="BF33" i="3"/>
  <c r="BO33" i="3"/>
  <c r="BF7" i="3"/>
  <c r="BO7" i="3"/>
  <c r="BF11" i="3"/>
  <c r="BO11" i="3"/>
  <c r="BP34" i="3"/>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c r="V65" i="32"/>
  <c r="W75" i="32"/>
  <c r="W84" i="32"/>
  <c r="AH21" i="32"/>
  <c r="AF22" i="32"/>
  <c r="AG22" i="32"/>
  <c r="W81" i="32"/>
  <c r="AF24" i="32"/>
  <c r="AG24" i="32"/>
  <c r="W83" i="32"/>
  <c r="AH17" i="32"/>
  <c r="AH64" i="32"/>
  <c r="AH6" i="32"/>
  <c r="AH38" i="32"/>
  <c r="W86" i="32"/>
  <c r="AH80" i="32"/>
  <c r="AF13" i="32"/>
  <c r="AG13" i="32"/>
  <c r="W85" i="32"/>
  <c r="AH60" i="32"/>
  <c r="AH39" i="32"/>
  <c r="W60" i="32"/>
  <c r="W72" i="32"/>
  <c r="AF23" i="32"/>
  <c r="AG23" i="32"/>
  <c r="AH57" i="32"/>
  <c r="AF67" i="32"/>
  <c r="U67" i="32"/>
  <c r="AF44" i="32"/>
  <c r="AG44" i="32"/>
  <c r="V50" i="32"/>
  <c r="AF53" i="32"/>
  <c r="AG53" i="32"/>
  <c r="V53" i="32"/>
  <c r="W78" i="32"/>
  <c r="W71" i="32"/>
  <c r="AF73" i="32"/>
  <c r="AG73" i="32"/>
  <c r="V73" i="32"/>
  <c r="AF45" i="32"/>
  <c r="AG45" i="32"/>
  <c r="AH73" i="32"/>
  <c r="AF63" i="32"/>
  <c r="AG63" i="32"/>
  <c r="V63" i="32"/>
  <c r="AH22" i="32"/>
  <c r="AH20" i="32"/>
  <c r="AF83" i="32"/>
  <c r="U83" i="32"/>
  <c r="AF31" i="32"/>
  <c r="AH81" i="32"/>
  <c r="AH30" i="32"/>
  <c r="W58" i="32"/>
  <c r="W74" i="32"/>
  <c r="AF28" i="32"/>
  <c r="AG28" i="32"/>
  <c r="AH43" i="32"/>
  <c r="W49" i="32"/>
  <c r="W68" i="32"/>
  <c r="AH51" i="32"/>
  <c r="AF17" i="32"/>
  <c r="AG17" i="32"/>
  <c r="AH7" i="32"/>
  <c r="AF75" i="32"/>
  <c r="AG75" i="32"/>
  <c r="V75" i="32"/>
  <c r="AF80" i="32"/>
  <c r="AG80" i="32"/>
  <c r="V80" i="32"/>
  <c r="AF64" i="32"/>
  <c r="AG64" i="32"/>
  <c r="V64" i="32"/>
  <c r="AH55" i="32"/>
  <c r="AH68" i="32"/>
  <c r="AF82" i="32"/>
  <c r="AG82" i="32"/>
  <c r="V82" i="32"/>
  <c r="AF48" i="32"/>
  <c r="AG48" i="32"/>
  <c r="AH49" i="32"/>
  <c r="AF68" i="32"/>
  <c r="AG68" i="32"/>
  <c r="V68" i="32"/>
  <c r="W51" i="32"/>
  <c r="AF12" i="32"/>
  <c r="AG12" i="32"/>
  <c r="W61" i="32"/>
  <c r="AF15" i="32"/>
  <c r="AG15" i="32"/>
  <c r="AF29" i="32"/>
  <c r="AG29" i="32"/>
  <c r="AH67" i="32"/>
  <c r="AH66" i="32"/>
  <c r="AH36" i="32"/>
  <c r="AH40" i="32"/>
  <c r="AF19" i="32"/>
  <c r="AG19" i="32"/>
  <c r="AH4" i="32"/>
  <c r="AF18" i="32"/>
  <c r="AG18" i="32"/>
  <c r="AF71" i="32"/>
  <c r="AG71" i="32"/>
  <c r="V71" i="32"/>
  <c r="AF35" i="32"/>
  <c r="AG35" i="32"/>
  <c r="W66" i="32"/>
  <c r="AF16" i="32"/>
  <c r="AG16" i="32"/>
  <c r="AF30" i="32"/>
  <c r="AG30" i="32"/>
  <c r="AF41" i="32"/>
  <c r="AG41" i="32"/>
  <c r="AH69" i="32"/>
  <c r="AH79" i="32"/>
  <c r="AF8" i="32"/>
  <c r="AG8" i="32"/>
  <c r="AH41" i="32"/>
  <c r="AH32" i="32"/>
  <c r="W70" i="32"/>
  <c r="AH11" i="32"/>
  <c r="AH13" i="32"/>
  <c r="AH27" i="32"/>
  <c r="W64" i="32"/>
  <c r="AH12" i="32"/>
  <c r="AF7" i="32"/>
  <c r="AF36" i="32"/>
  <c r="AG36" i="32"/>
  <c r="W53" i="32"/>
  <c r="AH70" i="32"/>
  <c r="W62" i="32"/>
  <c r="AF72" i="32"/>
  <c r="AG72" i="32"/>
  <c r="V72" i="32"/>
  <c r="W79" i="32"/>
  <c r="W59" i="32"/>
  <c r="AH86" i="32"/>
  <c r="AF6" i="32"/>
  <c r="AG6" i="32"/>
  <c r="AH63" i="32"/>
  <c r="W82" i="32"/>
  <c r="AF55" i="32"/>
  <c r="AG55" i="32"/>
  <c r="V55" i="32"/>
  <c r="W65" i="32"/>
  <c r="AH85" i="32"/>
  <c r="W69" i="32"/>
  <c r="AH31" i="32"/>
  <c r="AF69" i="32"/>
  <c r="AG69" i="32"/>
  <c r="V69" i="32"/>
  <c r="AH72" i="32"/>
  <c r="AH65" i="32"/>
  <c r="AH16" i="32"/>
  <c r="AF70" i="32"/>
  <c r="AG70" i="32"/>
  <c r="V70" i="32"/>
  <c r="W52" i="32"/>
  <c r="AH34" i="32"/>
  <c r="AF27" i="32"/>
  <c r="AG27" i="32"/>
  <c r="AF11" i="32"/>
  <c r="AG11" i="32"/>
  <c r="AF25" i="32"/>
  <c r="AH54" i="32"/>
  <c r="W57" i="32"/>
  <c r="AF14" i="32"/>
  <c r="AG14" i="32"/>
  <c r="AH23" i="32"/>
  <c r="AF56" i="32"/>
  <c r="U56" i="32"/>
  <c r="AF60" i="32"/>
  <c r="AG60" i="32"/>
  <c r="V60" i="32"/>
  <c r="AF78" i="32"/>
  <c r="AG78" i="32"/>
  <c r="V78" i="32"/>
  <c r="AF86" i="32"/>
  <c r="AG86" i="32"/>
  <c r="V86" i="32"/>
  <c r="W73" i="32"/>
  <c r="AF38" i="32"/>
  <c r="AG38" i="32"/>
  <c r="AF85" i="32"/>
  <c r="U85" i="32"/>
  <c r="AF51" i="32"/>
  <c r="AG51" i="32"/>
  <c r="V51" i="32"/>
  <c r="AF10" i="32"/>
  <c r="AG10" i="32"/>
  <c r="AF42" i="32"/>
  <c r="AG42" i="32"/>
  <c r="AH59" i="32"/>
  <c r="AF79" i="32"/>
  <c r="U79" i="32"/>
  <c r="AH52" i="32"/>
  <c r="AH76" i="32"/>
  <c r="AF26" i="32"/>
  <c r="AG26" i="32"/>
  <c r="AH75" i="32"/>
  <c r="AH78" i="32"/>
  <c r="AH47" i="32"/>
  <c r="AF40" i="32"/>
  <c r="AG40" i="32"/>
  <c r="AH37" i="32"/>
  <c r="AF58" i="32"/>
  <c r="U58" i="32"/>
  <c r="AF43" i="32"/>
  <c r="AG43" i="32"/>
  <c r="V49" i="32"/>
  <c r="AH44" i="32"/>
  <c r="W50" i="32"/>
  <c r="AH9" i="32"/>
  <c r="AH42" i="32"/>
  <c r="AF66" i="32"/>
  <c r="AG66" i="32"/>
  <c r="V66" i="32"/>
  <c r="AH33" i="32"/>
  <c r="AH77" i="32"/>
  <c r="AH5" i="32"/>
  <c r="AF84" i="32"/>
  <c r="AG84" i="32"/>
  <c r="V84" i="32"/>
  <c r="AF3" i="32"/>
  <c r="AF20" i="32"/>
  <c r="AG20" i="32"/>
  <c r="W67" i="32"/>
  <c r="AF46" i="32"/>
  <c r="AG46" i="32"/>
  <c r="AF74" i="32"/>
  <c r="AG74" i="32"/>
  <c r="V74" i="32"/>
  <c r="W54" i="32"/>
  <c r="AH74" i="32"/>
  <c r="AH50" i="32"/>
  <c r="AH26" i="32"/>
  <c r="AF59" i="32"/>
  <c r="U59" i="32"/>
  <c r="AH25" i="32"/>
  <c r="AH48" i="32"/>
  <c r="AF61" i="32"/>
  <c r="AG61" i="32"/>
  <c r="V61" i="32"/>
  <c r="AF57" i="32"/>
  <c r="AG57" i="32"/>
  <c r="V57" i="32"/>
  <c r="AF34" i="32"/>
  <c r="AG34" i="32"/>
  <c r="AF77" i="32"/>
  <c r="AG77" i="32"/>
  <c r="V77" i="32"/>
  <c r="AF54" i="32"/>
  <c r="AG54" i="32"/>
  <c r="V54" i="32"/>
  <c r="W76" i="32"/>
  <c r="AF47" i="32"/>
  <c r="AG47" i="32"/>
  <c r="AH15" i="32"/>
  <c r="W80" i="32"/>
  <c r="AH71" i="32"/>
  <c r="AH24" i="32"/>
  <c r="AH53" i="32"/>
  <c r="AH3" i="32"/>
  <c r="AF49" i="32"/>
  <c r="AG49" i="32"/>
  <c r="AH58" i="32"/>
  <c r="AH19" i="32"/>
  <c r="AH45" i="32"/>
  <c r="AF81" i="32"/>
  <c r="U81" i="32"/>
  <c r="AH8" i="32"/>
  <c r="AH62" i="32"/>
  <c r="AF5" i="32"/>
  <c r="AG5" i="32"/>
  <c r="AF32" i="32"/>
  <c r="AG32" i="32"/>
  <c r="AH14" i="32"/>
  <c r="AF33" i="32"/>
  <c r="AG33" i="32"/>
  <c r="AH56" i="32"/>
  <c r="AH46" i="32"/>
  <c r="AF37" i="32"/>
  <c r="AG37" i="32"/>
  <c r="AH18" i="32"/>
  <c r="AF62" i="32"/>
  <c r="AG62" i="32"/>
  <c r="V62" i="32"/>
  <c r="AF21" i="32"/>
  <c r="AG21" i="32"/>
  <c r="AH28" i="32"/>
  <c r="AH35" i="32"/>
  <c r="AF4" i="32"/>
  <c r="AG4" i="32"/>
  <c r="W77" i="32"/>
  <c r="AH84" i="32"/>
  <c r="AF52" i="32"/>
  <c r="AG52" i="32"/>
  <c r="V52" i="32"/>
  <c r="AF76" i="32"/>
  <c r="U76" i="32"/>
  <c r="AF9" i="32"/>
  <c r="AH83" i="32"/>
  <c r="AF39" i="32"/>
  <c r="AG39" i="32"/>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c r="BQ41" i="3"/>
  <c r="BR41" i="3"/>
  <c r="BQ18" i="3"/>
  <c r="BR18" i="3"/>
  <c r="BQ29" i="3"/>
  <c r="BR29" i="3"/>
  <c r="BQ16" i="3"/>
  <c r="BR16" i="3"/>
  <c r="BQ12" i="3"/>
  <c r="BR12" i="3"/>
  <c r="BQ24" i="3"/>
  <c r="BR24" i="3"/>
  <c r="BQ11" i="3"/>
  <c r="BR11" i="3"/>
  <c r="BQ22" i="3"/>
  <c r="BR22" i="3"/>
  <c r="BQ28" i="3"/>
  <c r="BR28" i="3"/>
  <c r="BQ39" i="3"/>
  <c r="BR39" i="3"/>
  <c r="BQ17" i="3"/>
  <c r="BR17" i="3"/>
  <c r="BQ33" i="3"/>
  <c r="BR33" i="3"/>
  <c r="BQ42" i="3"/>
  <c r="BR42" i="3"/>
  <c r="BQ8" i="3"/>
  <c r="BR8" i="3"/>
  <c r="BQ35" i="3"/>
  <c r="BR35" i="3"/>
  <c r="BQ53" i="3"/>
  <c r="BR53" i="3"/>
  <c r="BQ36" i="3"/>
  <c r="BR36" i="3"/>
  <c r="BQ40" i="3"/>
  <c r="BR40" i="3"/>
  <c r="BQ31" i="3"/>
  <c r="BR31" i="3"/>
  <c r="BQ20" i="3"/>
  <c r="BR20" i="3"/>
  <c r="BQ44" i="3"/>
  <c r="BR44" i="3"/>
  <c r="BQ15" i="3"/>
  <c r="BR15" i="3"/>
  <c r="BQ9" i="3"/>
  <c r="BR9" i="3"/>
  <c r="BQ43" i="3"/>
  <c r="BR43" i="3"/>
  <c r="BQ14" i="3"/>
  <c r="BR14" i="3"/>
  <c r="BQ10" i="3"/>
  <c r="BR10" i="3"/>
  <c r="BQ30" i="3"/>
  <c r="BR30" i="3"/>
  <c r="BQ38" i="3"/>
  <c r="BR38" i="3"/>
  <c r="BQ45" i="3"/>
  <c r="BR45" i="3"/>
  <c r="BQ26" i="3"/>
  <c r="BR26" i="3"/>
  <c r="BQ13" i="3"/>
  <c r="BR13" i="3"/>
  <c r="BQ6" i="3"/>
  <c r="BQ19" i="3"/>
  <c r="BR19" i="3"/>
  <c r="BQ27" i="3"/>
  <c r="BR27" i="3"/>
  <c r="BQ48" i="3"/>
  <c r="BR48" i="3"/>
  <c r="BQ7" i="3"/>
  <c r="BR7" i="3"/>
  <c r="BQ46" i="3"/>
  <c r="BR46" i="3"/>
  <c r="BQ47" i="3"/>
  <c r="BR47" i="3"/>
  <c r="BQ21" i="3"/>
  <c r="BR21" i="3"/>
  <c r="BQ37" i="3"/>
  <c r="BR37" i="3"/>
  <c r="BQ34" i="3"/>
  <c r="BR34" i="3"/>
  <c r="BQ52" i="3"/>
  <c r="BR52" i="3"/>
  <c r="BQ50" i="3"/>
  <c r="BR50" i="3"/>
  <c r="BQ49" i="3"/>
  <c r="BR49" i="3"/>
  <c r="BQ32" i="3"/>
  <c r="BR32" i="3"/>
  <c r="BQ25" i="3"/>
  <c r="BR25" i="3"/>
  <c r="BQ51" i="3"/>
  <c r="BR51" i="3"/>
  <c r="W28" i="32"/>
  <c r="W24" i="32"/>
  <c r="W25" i="32"/>
  <c r="W27" i="32"/>
  <c r="W26" i="32"/>
  <c r="W22" i="32"/>
  <c r="V24" i="32"/>
  <c r="W30" i="32"/>
  <c r="W31" i="32"/>
  <c r="W29" i="32"/>
  <c r="U30" i="32"/>
  <c r="U35" i="32"/>
  <c r="AG56" i="32"/>
  <c r="V56" i="32"/>
  <c r="U13" i="32"/>
  <c r="AG50" i="32"/>
  <c r="V43" i="32"/>
  <c r="AG67" i="32"/>
  <c r="V67" i="32"/>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c r="AG59" i="32"/>
  <c r="V59" i="32"/>
  <c r="AG3" i="32"/>
  <c r="V3" i="32"/>
  <c r="U20" i="32"/>
  <c r="U26" i="32"/>
  <c r="U5" i="32"/>
  <c r="AG83" i="32"/>
  <c r="V83" i="32"/>
  <c r="V14" i="32"/>
  <c r="AG31" i="32"/>
  <c r="V31" i="32"/>
  <c r="U31" i="32"/>
  <c r="U63" i="32"/>
  <c r="U82" i="32"/>
  <c r="U71" i="32"/>
  <c r="U8" i="32"/>
  <c r="U80" i="32"/>
  <c r="V36" i="32"/>
  <c r="U75" i="32"/>
  <c r="V39" i="32"/>
  <c r="U66" i="32"/>
  <c r="AG25" i="32"/>
  <c r="V25" i="32"/>
  <c r="U12" i="32"/>
  <c r="U47" i="32"/>
  <c r="U19" i="32"/>
  <c r="U55" i="32"/>
  <c r="U78" i="32"/>
  <c r="U29" i="32"/>
  <c r="V29" i="32"/>
  <c r="U16" i="32"/>
  <c r="U68" i="32"/>
  <c r="U70" i="32"/>
  <c r="U49" i="32"/>
  <c r="U44" i="32"/>
  <c r="U84" i="32"/>
  <c r="U42" i="32"/>
  <c r="U77" i="32"/>
  <c r="U61" i="32"/>
  <c r="U46" i="32"/>
  <c r="U74" i="32"/>
  <c r="W3" i="32"/>
  <c r="W15" i="32"/>
  <c r="AG79" i="32"/>
  <c r="V79" i="32"/>
  <c r="AG81" i="32"/>
  <c r="V81" i="32"/>
  <c r="U86" i="32"/>
  <c r="U57" i="32"/>
  <c r="AG58" i="32"/>
  <c r="V58" i="32"/>
  <c r="U34" i="32"/>
  <c r="U37" i="32"/>
  <c r="U21" i="32"/>
  <c r="AG9" i="32"/>
  <c r="V9" i="32"/>
  <c r="U45" i="32"/>
  <c r="U33" i="32"/>
  <c r="W14" i="32"/>
  <c r="W32" i="32"/>
  <c r="V4" i="32"/>
  <c r="U4" i="32"/>
  <c r="AG76" i="32"/>
  <c r="V76" i="32"/>
  <c r="U52" i="32"/>
  <c r="U36" i="32"/>
  <c r="U62" i="32"/>
  <c r="V28" i="32"/>
  <c r="V37" i="32"/>
  <c r="V18" i="32"/>
  <c r="V38" i="32"/>
  <c r="V20" i="32"/>
  <c r="V13" i="32"/>
  <c r="V19" i="32"/>
  <c r="H113" i="3"/>
  <c r="V16" i="32"/>
  <c r="V23" i="32"/>
  <c r="C37" i="32"/>
  <c r="X37" i="3"/>
  <c r="V15" i="32"/>
  <c r="V7" i="32"/>
  <c r="V22" i="32"/>
  <c r="V21" i="32"/>
  <c r="V5" i="32"/>
  <c r="V33" i="32"/>
  <c r="V10" i="32"/>
  <c r="V8" i="32"/>
  <c r="V27" i="32"/>
  <c r="V32" i="32"/>
  <c r="V41" i="32"/>
  <c r="V42" i="32"/>
  <c r="BR6" i="3"/>
  <c r="BS26" i="3"/>
  <c r="C143" i="32"/>
  <c r="X143" i="3"/>
  <c r="C53" i="32"/>
  <c r="Y53" i="3"/>
  <c r="C125" i="32"/>
  <c r="Y125" i="3"/>
  <c r="C56" i="32"/>
  <c r="X56" i="3"/>
  <c r="C7" i="32"/>
  <c r="X7" i="3"/>
  <c r="C81" i="32"/>
  <c r="X81" i="3"/>
  <c r="C116" i="32"/>
  <c r="X116" i="3"/>
  <c r="C108" i="32"/>
  <c r="Y108" i="3"/>
  <c r="C49" i="32"/>
  <c r="X49" i="3"/>
  <c r="C25" i="32"/>
  <c r="X25" i="3"/>
  <c r="C138" i="32"/>
  <c r="Y138" i="3"/>
  <c r="C61" i="32"/>
  <c r="X61" i="3"/>
  <c r="C105" i="32"/>
  <c r="X105" i="3"/>
  <c r="C95" i="32"/>
  <c r="X95" i="3"/>
  <c r="C17" i="32"/>
  <c r="X17" i="3"/>
  <c r="C65" i="32"/>
  <c r="Y65" i="3"/>
  <c r="C29" i="32"/>
  <c r="Y29" i="3"/>
  <c r="C115" i="32"/>
  <c r="Y115" i="3"/>
  <c r="C110" i="32"/>
  <c r="X110" i="3"/>
  <c r="C79" i="32"/>
  <c r="Y79" i="3"/>
  <c r="C6" i="32"/>
  <c r="X6" i="3"/>
  <c r="C31" i="32"/>
  <c r="Y31" i="3"/>
  <c r="C94" i="32"/>
  <c r="X94" i="3"/>
  <c r="C103" i="32"/>
  <c r="X103" i="3"/>
  <c r="C14" i="32"/>
  <c r="X14" i="3"/>
  <c r="C38" i="32"/>
  <c r="Y38" i="3"/>
  <c r="C20" i="32"/>
  <c r="Y20" i="3"/>
  <c r="C45" i="32"/>
  <c r="X45" i="3"/>
  <c r="C86" i="32"/>
  <c r="X86" i="3"/>
  <c r="C139" i="32"/>
  <c r="X139" i="3"/>
  <c r="C12" i="32"/>
  <c r="X12" i="3"/>
  <c r="C92" i="32"/>
  <c r="X92" i="3"/>
  <c r="C78" i="32"/>
  <c r="Y78" i="3"/>
  <c r="C113" i="32"/>
  <c r="X113" i="3"/>
  <c r="C21" i="32"/>
  <c r="X21" i="3"/>
  <c r="C16" i="32"/>
  <c r="X16" i="3"/>
  <c r="C23" i="32"/>
  <c r="X23" i="3"/>
  <c r="C64" i="32"/>
  <c r="Y64" i="3"/>
  <c r="C9" i="32"/>
  <c r="X9" i="3"/>
  <c r="C13" i="32"/>
  <c r="Y13" i="3"/>
  <c r="C62" i="32"/>
  <c r="Y62" i="3"/>
  <c r="C33" i="32"/>
  <c r="X33" i="3"/>
  <c r="C28" i="32"/>
  <c r="X28" i="3"/>
  <c r="C55" i="32"/>
  <c r="Y55" i="3"/>
  <c r="C85" i="32"/>
  <c r="X85" i="3"/>
  <c r="C106" i="32"/>
  <c r="Y106" i="3"/>
  <c r="C93" i="32"/>
  <c r="Y93" i="3"/>
  <c r="C69" i="32"/>
  <c r="Y69" i="3"/>
  <c r="C54" i="32"/>
  <c r="Y54" i="3"/>
  <c r="C5" i="32"/>
  <c r="Y5" i="3"/>
  <c r="C101" i="32"/>
  <c r="Y101" i="3"/>
  <c r="C84" i="32"/>
  <c r="X84" i="3"/>
  <c r="C88" i="32"/>
  <c r="X88" i="3"/>
  <c r="C60" i="32"/>
  <c r="Y60" i="3"/>
  <c r="C120" i="32"/>
  <c r="X120" i="3"/>
  <c r="C134" i="32"/>
  <c r="Y134" i="3"/>
  <c r="C41" i="32"/>
  <c r="X41" i="3"/>
  <c r="V26" i="32"/>
  <c r="V30" i="32"/>
  <c r="AY101" i="3"/>
  <c r="AK99" i="3"/>
  <c r="C127" i="32"/>
  <c r="X127" i="3"/>
  <c r="C4" i="32"/>
  <c r="X4" i="3"/>
  <c r="C114" i="32"/>
  <c r="X114" i="3"/>
  <c r="C102" i="32"/>
  <c r="X102" i="3"/>
  <c r="C57" i="32"/>
  <c r="Y57" i="3"/>
  <c r="C122" i="32"/>
  <c r="Y122" i="3"/>
  <c r="C48" i="32"/>
  <c r="Y48" i="3"/>
  <c r="C124" i="32"/>
  <c r="Y124" i="3"/>
  <c r="C121" i="32"/>
  <c r="X121" i="3"/>
  <c r="C133" i="32"/>
  <c r="X133" i="3"/>
  <c r="C63" i="32"/>
  <c r="Y63" i="3"/>
  <c r="C68" i="32"/>
  <c r="Y68" i="3"/>
  <c r="C32" i="32"/>
  <c r="Y32" i="3"/>
  <c r="C30" i="32"/>
  <c r="X30" i="3"/>
  <c r="C107" i="32"/>
  <c r="Y107" i="3"/>
  <c r="C72" i="32"/>
  <c r="X72" i="3"/>
  <c r="C22" i="32"/>
  <c r="X22" i="3"/>
  <c r="C123" i="32"/>
  <c r="Y123" i="3"/>
  <c r="C24" i="32"/>
  <c r="Y24" i="3"/>
  <c r="C89" i="32"/>
  <c r="Y89" i="3"/>
  <c r="C112" i="32"/>
  <c r="X112" i="3"/>
  <c r="C46" i="32"/>
  <c r="X46" i="3"/>
  <c r="C8" i="32"/>
  <c r="X8" i="3"/>
  <c r="C36" i="32"/>
  <c r="X36" i="3"/>
  <c r="C47" i="32"/>
  <c r="Y47" i="3"/>
  <c r="C76" i="32"/>
  <c r="X76" i="3"/>
  <c r="C104" i="32"/>
  <c r="X104" i="3"/>
  <c r="C132" i="32"/>
  <c r="Y132" i="3"/>
  <c r="C111" i="32"/>
  <c r="Y111" i="3"/>
  <c r="C126" i="32"/>
  <c r="Y126" i="3"/>
  <c r="C15" i="32"/>
  <c r="Y15" i="3"/>
  <c r="C52" i="32"/>
  <c r="Y52" i="3"/>
  <c r="C131" i="32"/>
  <c r="Y131" i="3"/>
  <c r="C44" i="32"/>
  <c r="Y44" i="3"/>
  <c r="C147" i="32"/>
  <c r="X147" i="3"/>
  <c r="C71" i="32"/>
  <c r="Y71" i="3"/>
  <c r="C39" i="32"/>
  <c r="X39" i="3"/>
  <c r="C97" i="32"/>
  <c r="Y97" i="3"/>
  <c r="C80" i="32"/>
  <c r="Y80" i="3"/>
  <c r="C73" i="32"/>
  <c r="X73" i="3"/>
  <c r="C77" i="32"/>
  <c r="X77" i="3"/>
  <c r="C87" i="32"/>
  <c r="X87" i="3"/>
  <c r="C109" i="32"/>
  <c r="X109" i="3"/>
  <c r="C40" i="32"/>
  <c r="Y40" i="3"/>
  <c r="C70" i="32"/>
  <c r="Y70" i="3"/>
  <c r="C96" i="32"/>
  <c r="X96" i="3"/>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76" i="3"/>
  <c r="Y116" i="3"/>
  <c r="X125" i="3"/>
  <c r="Y61" i="3"/>
  <c r="X38" i="3"/>
  <c r="X65" i="3"/>
  <c r="Y25" i="3"/>
  <c r="Y17" i="3"/>
  <c r="Y143" i="3"/>
  <c r="Y7" i="3"/>
  <c r="Y113" i="3"/>
  <c r="Y56" i="3"/>
  <c r="Y9" i="3"/>
  <c r="X138" i="3"/>
  <c r="X62" i="3"/>
  <c r="X106" i="3"/>
  <c r="Y21" i="3"/>
  <c r="X78" i="3"/>
  <c r="Y103" i="3"/>
  <c r="X101" i="3"/>
  <c r="Y28" i="3"/>
  <c r="Y110" i="3"/>
  <c r="Y94" i="3"/>
  <c r="Y16" i="3"/>
  <c r="X79" i="3"/>
  <c r="X55" i="3"/>
  <c r="Y86" i="3"/>
  <c r="Y45" i="3"/>
  <c r="Y92" i="3"/>
  <c r="Y85" i="3"/>
  <c r="X13" i="3"/>
  <c r="Y6" i="3"/>
  <c r="X64" i="3"/>
  <c r="Y120" i="3"/>
  <c r="X5" i="3"/>
  <c r="X20" i="3"/>
  <c r="Y23" i="3"/>
  <c r="Y139" i="3"/>
  <c r="Y41" i="3"/>
  <c r="X57" i="3"/>
  <c r="X134" i="3"/>
  <c r="X54" i="3"/>
  <c r="Y12" i="3"/>
  <c r="Y88" i="3"/>
  <c r="X93" i="3"/>
  <c r="Y84" i="3"/>
  <c r="X60" i="3"/>
  <c r="Y33" i="3"/>
  <c r="X69" i="3"/>
  <c r="X131" i="3"/>
  <c r="Y127" i="3"/>
  <c r="Y22" i="3"/>
  <c r="X47" i="3"/>
  <c r="Y121" i="3"/>
  <c r="X44" i="3"/>
  <c r="Y4" i="3"/>
  <c r="X122" i="3"/>
  <c r="X123" i="3"/>
  <c r="Y133" i="3"/>
  <c r="X48" i="3"/>
  <c r="X24" i="3"/>
  <c r="Y114" i="3"/>
  <c r="X63" i="3"/>
  <c r="Y104" i="3"/>
  <c r="X89" i="3"/>
  <c r="X68" i="3"/>
  <c r="X124"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c r="BT40" i="3"/>
  <c r="BT25" i="3"/>
  <c r="BT38" i="3"/>
  <c r="BT33" i="3"/>
  <c r="F53" i="3"/>
  <c r="BT36" i="3"/>
  <c r="BT41" i="3"/>
  <c r="BT49" i="3"/>
  <c r="BT29" i="3"/>
  <c r="BT8" i="3"/>
  <c r="BT44" i="3"/>
  <c r="BT27" i="3"/>
  <c r="BT16" i="3"/>
  <c r="BT39" i="3"/>
  <c r="BT9" i="3"/>
  <c r="BT23" i="3"/>
  <c r="BT53" i="3"/>
  <c r="BT43" i="3"/>
  <c r="BT26" i="3"/>
  <c r="BT42" i="3"/>
  <c r="BT21" i="3"/>
  <c r="BT10" i="3"/>
  <c r="BT6" i="3"/>
  <c r="BT51" i="3"/>
  <c r="BT52" i="3"/>
  <c r="BT32" i="3"/>
  <c r="E53" i="3"/>
  <c r="BT18" i="3"/>
  <c r="BT34" i="3"/>
  <c r="BT22" i="3"/>
  <c r="BT7" i="3"/>
  <c r="BT12" i="3"/>
  <c r="BT28" i="3"/>
  <c r="BT24" i="3"/>
  <c r="BT11" i="3"/>
  <c r="BT48" i="3"/>
  <c r="BT37" i="3"/>
  <c r="BT47" i="3"/>
  <c r="BT30" i="3"/>
  <c r="E54" i="3"/>
  <c r="BT17" i="3"/>
  <c r="BT14" i="3"/>
  <c r="BT45" i="3"/>
  <c r="BT13" i="3"/>
  <c r="BT35" i="3"/>
  <c r="BT46" i="3"/>
  <c r="BT31" i="3"/>
  <c r="E56" i="3"/>
  <c r="BT20" i="3"/>
  <c r="F56" i="3"/>
  <c r="F54" i="3"/>
  <c r="E25" i="3"/>
  <c r="F20" i="3"/>
  <c r="F22" i="3"/>
  <c r="E92" i="3"/>
  <c r="BW51" i="3"/>
  <c r="BU40" i="3"/>
  <c r="F73" i="3"/>
  <c r="BU39" i="3"/>
  <c r="F96" i="3"/>
  <c r="E94" i="3"/>
  <c r="BW52" i="3"/>
  <c r="E69" i="3"/>
  <c r="BW41" i="3"/>
  <c r="E33" i="3"/>
  <c r="F70" i="3"/>
  <c r="F28" i="3"/>
  <c r="F24" i="3"/>
  <c r="E23" i="3"/>
  <c r="E20" i="3"/>
  <c r="E96" i="3"/>
  <c r="BW50" i="3"/>
  <c r="F93" i="3"/>
  <c r="E95" i="3"/>
  <c r="BU51" i="3"/>
  <c r="BU53" i="3"/>
  <c r="E47" i="3"/>
  <c r="E49" i="3"/>
  <c r="F45" i="3"/>
  <c r="E37" i="3"/>
  <c r="BW25" i="3"/>
  <c r="F40" i="3"/>
  <c r="BU23" i="3"/>
  <c r="F38" i="3"/>
  <c r="F32" i="3"/>
  <c r="BU21" i="3"/>
  <c r="E28" i="3"/>
  <c r="E30" i="3"/>
  <c r="F63" i="3"/>
  <c r="E64" i="3"/>
  <c r="F60" i="3"/>
  <c r="BV32" i="3"/>
  <c r="BW32" i="3"/>
  <c r="BU32" i="3"/>
  <c r="E89" i="3"/>
  <c r="F84" i="3"/>
  <c r="F87" i="3"/>
  <c r="F97" i="3"/>
  <c r="F94" i="3"/>
  <c r="E93" i="3"/>
  <c r="E6" i="3"/>
  <c r="E8" i="3"/>
  <c r="F5" i="3"/>
  <c r="F89" i="3"/>
  <c r="BU47" i="3"/>
  <c r="F86" i="3"/>
  <c r="E85" i="3"/>
  <c r="E5" i="3"/>
  <c r="F7" i="3"/>
  <c r="F9" i="3"/>
  <c r="E15" i="3"/>
  <c r="E12" i="3"/>
  <c r="F16" i="3"/>
  <c r="E31" i="3"/>
  <c r="E32" i="3"/>
  <c r="BW18" i="3"/>
  <c r="F29" i="3"/>
  <c r="BU20" i="3"/>
  <c r="F57" i="3"/>
  <c r="E52" i="3"/>
  <c r="F39" i="3"/>
  <c r="F36" i="3"/>
  <c r="E40" i="3"/>
  <c r="F48" i="3"/>
  <c r="BU28" i="3"/>
  <c r="F46" i="3"/>
  <c r="BW28" i="3"/>
  <c r="E45" i="3"/>
  <c r="BW29" i="3"/>
  <c r="F92" i="3"/>
  <c r="F95" i="3"/>
  <c r="E97" i="3"/>
  <c r="BV52" i="3"/>
  <c r="F81" i="3"/>
  <c r="E76" i="3"/>
  <c r="BW43" i="3"/>
  <c r="E78" i="3"/>
  <c r="BW44" i="3"/>
  <c r="E48" i="3"/>
  <c r="F44" i="3"/>
  <c r="F47" i="3"/>
  <c r="E38" i="3"/>
  <c r="BW24" i="3"/>
  <c r="F41" i="3"/>
  <c r="BU25" i="3"/>
  <c r="E36" i="3"/>
  <c r="BW23" i="3"/>
  <c r="E39" i="3"/>
  <c r="F37" i="3"/>
  <c r="BU24" i="3"/>
  <c r="E41" i="3"/>
  <c r="BW22" i="3"/>
  <c r="BU34" i="3"/>
  <c r="BW34" i="3"/>
  <c r="E62" i="3"/>
  <c r="BW36" i="3"/>
  <c r="E60" i="3"/>
  <c r="BW35" i="3"/>
  <c r="F65" i="3"/>
  <c r="BU37" i="3"/>
  <c r="E87" i="3"/>
  <c r="E88" i="3"/>
  <c r="BW46" i="3"/>
  <c r="F85" i="3"/>
  <c r="BU48" i="3"/>
  <c r="E14" i="3"/>
  <c r="F13" i="3"/>
  <c r="BU12" i="3"/>
  <c r="E16" i="3"/>
  <c r="BW10" i="3"/>
  <c r="F17" i="3"/>
  <c r="BU11" i="3"/>
  <c r="F15" i="3"/>
  <c r="E13" i="3"/>
  <c r="BW13" i="3"/>
  <c r="E4" i="3"/>
  <c r="E7" i="3"/>
  <c r="F8" i="3"/>
  <c r="BU26" i="3"/>
  <c r="E44" i="3"/>
  <c r="BW27" i="3"/>
  <c r="E46" i="3"/>
  <c r="BW26" i="3"/>
  <c r="F49" i="3"/>
  <c r="BU29" i="3"/>
  <c r="E73" i="3"/>
  <c r="F68" i="3"/>
  <c r="BU38" i="3"/>
  <c r="F71" i="3"/>
  <c r="E71" i="3"/>
  <c r="E72" i="3"/>
  <c r="F69" i="3"/>
  <c r="E55" i="3"/>
  <c r="BU31" i="3"/>
  <c r="E57" i="3"/>
  <c r="F55" i="3"/>
  <c r="BU33" i="3"/>
  <c r="F52" i="3"/>
  <c r="F25" i="3"/>
  <c r="BW15" i="3"/>
  <c r="E21" i="3"/>
  <c r="BU17" i="3"/>
  <c r="F23" i="3"/>
  <c r="E84" i="3"/>
  <c r="F88" i="3"/>
  <c r="E86" i="3"/>
  <c r="E17" i="3"/>
  <c r="F14" i="3"/>
  <c r="F12" i="3"/>
  <c r="E22" i="3"/>
  <c r="E24" i="3"/>
  <c r="F21" i="3"/>
  <c r="BU16" i="3"/>
  <c r="E29" i="3"/>
  <c r="BW21" i="3"/>
  <c r="F30" i="3"/>
  <c r="F33" i="3"/>
  <c r="BU19" i="3"/>
  <c r="BU45" i="3"/>
  <c r="E81" i="3"/>
  <c r="E79" i="3"/>
  <c r="BU43" i="3"/>
  <c r="F77" i="3"/>
  <c r="BU44" i="3"/>
  <c r="F61" i="3"/>
  <c r="E65" i="3"/>
  <c r="E63" i="3"/>
  <c r="E9" i="3"/>
  <c r="F4" i="3"/>
  <c r="F6" i="3"/>
  <c r="F79" i="3"/>
  <c r="E80" i="3"/>
  <c r="F76" i="3"/>
  <c r="BW42" i="3"/>
  <c r="F80" i="3"/>
  <c r="E77" i="3"/>
  <c r="BW45" i="3"/>
  <c r="F78" i="3"/>
  <c r="E61" i="3"/>
  <c r="BW37" i="3"/>
  <c r="F62" i="3"/>
  <c r="BU36" i="3"/>
  <c r="F64" i="3"/>
  <c r="BU35" i="3"/>
  <c r="F72" i="3"/>
  <c r="BU41" i="3"/>
  <c r="E68" i="3"/>
  <c r="BW38" i="3"/>
  <c r="E70" i="3"/>
  <c r="BU30" i="3"/>
  <c r="BW39" i="3"/>
  <c r="BU22" i="3"/>
  <c r="BU27" i="3"/>
  <c r="BW40" i="3"/>
  <c r="BW53" i="3"/>
  <c r="BU42" i="3"/>
  <c r="BV50" i="3"/>
  <c r="BV51" i="3"/>
  <c r="BX51" i="3"/>
  <c r="BV53" i="3"/>
  <c r="BV30" i="3"/>
  <c r="BX30" i="3"/>
  <c r="BV45" i="3"/>
  <c r="BX45" i="3"/>
  <c r="BV44" i="3"/>
  <c r="BX44" i="3"/>
  <c r="BV46" i="3"/>
  <c r="BV49" i="3"/>
  <c r="BV43" i="3"/>
  <c r="BX43" i="3"/>
  <c r="BV48" i="3"/>
  <c r="BX48" i="3"/>
  <c r="BV47" i="3"/>
  <c r="BX47" i="3"/>
  <c r="BV42" i="3"/>
  <c r="BX42" i="3"/>
  <c r="BV31" i="3"/>
  <c r="BX31" i="3"/>
  <c r="BV18" i="3"/>
  <c r="BV33" i="3"/>
  <c r="BX33" i="3"/>
  <c r="BV13" i="3"/>
  <c r="BV20" i="3"/>
  <c r="BX20" i="3"/>
  <c r="BV17" i="3"/>
  <c r="BX17" i="3"/>
  <c r="BV19" i="3"/>
  <c r="BX19" i="3"/>
  <c r="BV21" i="3"/>
  <c r="BX21" i="3"/>
  <c r="BV11" i="3"/>
  <c r="BX11" i="3"/>
  <c r="BV15" i="3"/>
  <c r="BV14" i="3"/>
  <c r="BV16" i="3"/>
  <c r="BX16" i="3"/>
  <c r="BV12" i="3"/>
  <c r="BX12" i="3"/>
  <c r="BV10" i="3"/>
  <c r="BV7" i="3"/>
  <c r="BU8" i="3"/>
  <c r="BU7" i="3"/>
  <c r="BW6" i="3"/>
  <c r="BU46" i="3"/>
  <c r="BW48" i="3"/>
  <c r="BW17" i="3"/>
  <c r="BW33" i="3"/>
  <c r="BU49" i="3"/>
  <c r="BU52" i="3"/>
  <c r="BX52" i="3"/>
  <c r="BU50" i="3"/>
  <c r="BU18" i="3"/>
  <c r="BX18" i="3"/>
  <c r="BV26" i="3"/>
  <c r="BX26" i="3"/>
  <c r="BV38" i="3"/>
  <c r="BX38" i="3"/>
  <c r="BV36" i="3"/>
  <c r="BX36" i="3"/>
  <c r="BV40" i="3"/>
  <c r="BX40" i="3"/>
  <c r="BV41" i="3"/>
  <c r="BX41" i="3"/>
  <c r="BV39" i="3"/>
  <c r="BX39" i="3"/>
  <c r="BV34" i="3"/>
  <c r="BX34" i="3"/>
  <c r="BV37" i="3"/>
  <c r="BX37" i="3"/>
  <c r="BV35" i="3"/>
  <c r="BX35" i="3"/>
  <c r="BW30" i="3"/>
  <c r="BV29" i="3"/>
  <c r="BX29" i="3"/>
  <c r="BV28" i="3"/>
  <c r="BX28" i="3"/>
  <c r="BV27" i="3"/>
  <c r="BX27" i="3"/>
  <c r="BV22" i="3"/>
  <c r="BX22" i="3"/>
  <c r="BV23" i="3"/>
  <c r="BX23" i="3"/>
  <c r="BV24" i="3"/>
  <c r="BX24" i="3"/>
  <c r="BV25" i="3"/>
  <c r="BX25" i="3"/>
  <c r="BW20" i="3"/>
  <c r="BU10" i="3"/>
  <c r="BU13" i="3"/>
  <c r="BW11" i="3"/>
  <c r="BW14" i="3"/>
  <c r="BW19" i="3"/>
  <c r="BW12" i="3"/>
  <c r="BU15" i="3"/>
  <c r="BW16" i="3"/>
  <c r="BU14" i="3"/>
  <c r="BW7" i="3"/>
  <c r="BU6" i="3"/>
  <c r="BW8" i="3"/>
  <c r="BU9" i="3"/>
  <c r="BW9" i="3"/>
  <c r="BX53" i="3"/>
  <c r="BV9" i="3"/>
  <c r="BV8" i="3"/>
  <c r="BV6" i="3"/>
  <c r="BW49" i="3"/>
  <c r="BW31" i="3"/>
  <c r="BW47" i="3"/>
  <c r="BX32" i="3"/>
  <c r="BX50" i="3"/>
  <c r="BX46" i="3"/>
  <c r="BX15" i="3"/>
  <c r="BX13" i="3"/>
  <c r="BX49" i="3"/>
  <c r="BX7" i="3"/>
  <c r="BX10" i="3"/>
  <c r="BX14" i="3"/>
  <c r="BX8" i="3"/>
  <c r="BX6" i="3"/>
  <c r="BX9" i="3"/>
  <c r="BY52" i="3"/>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c r="BZ18" i="3"/>
  <c r="H30" i="3"/>
  <c r="BZ16" i="3"/>
  <c r="I25" i="3"/>
  <c r="BZ49" i="3"/>
  <c r="I85" i="3"/>
  <c r="BZ51" i="3"/>
  <c r="H97" i="3"/>
  <c r="BZ22" i="3"/>
  <c r="H38" i="3"/>
  <c r="BZ8" i="3"/>
  <c r="I7" i="3"/>
  <c r="BZ29" i="3"/>
  <c r="H49" i="3"/>
  <c r="BZ15" i="3"/>
  <c r="BZ24" i="3"/>
  <c r="H37" i="3"/>
  <c r="BZ9" i="3"/>
  <c r="I5" i="3"/>
  <c r="BZ17" i="3"/>
  <c r="H24" i="3"/>
  <c r="BZ40" i="3"/>
  <c r="I73" i="3"/>
  <c r="BZ20" i="3"/>
  <c r="I30" i="3"/>
  <c r="BZ44" i="3"/>
  <c r="I80" i="3"/>
  <c r="BZ35" i="3"/>
  <c r="I60" i="3"/>
  <c r="BZ42" i="3"/>
  <c r="H76" i="3"/>
  <c r="BZ41" i="3"/>
  <c r="I69" i="3"/>
  <c r="BZ47" i="3"/>
  <c r="I84" i="3"/>
  <c r="BZ31" i="3"/>
  <c r="H56" i="3"/>
  <c r="BZ33" i="3"/>
  <c r="I53" i="3"/>
  <c r="BZ10" i="3"/>
  <c r="I16" i="3"/>
  <c r="BZ38" i="3"/>
  <c r="I72" i="3"/>
  <c r="BZ45" i="3"/>
  <c r="I77" i="3"/>
  <c r="BZ12" i="3"/>
  <c r="I17" i="3"/>
  <c r="BZ52" i="3"/>
  <c r="H93" i="3"/>
  <c r="BZ28" i="3"/>
  <c r="I46" i="3"/>
  <c r="BZ46" i="3"/>
  <c r="I88" i="3"/>
  <c r="BZ13" i="3"/>
  <c r="I13" i="3"/>
  <c r="BZ48" i="3"/>
  <c r="H85" i="3"/>
  <c r="BZ19" i="3"/>
  <c r="H33" i="3"/>
  <c r="BZ32" i="3"/>
  <c r="H53" i="3"/>
  <c r="BZ53" i="3"/>
  <c r="H95" i="3"/>
  <c r="BZ30" i="3"/>
  <c r="H54" i="3"/>
  <c r="BZ25" i="3"/>
  <c r="H41" i="3"/>
  <c r="BZ43" i="3"/>
  <c r="I79" i="3"/>
  <c r="BZ34" i="3"/>
  <c r="H62" i="3"/>
  <c r="BZ11" i="3"/>
  <c r="H17" i="3"/>
  <c r="BZ6" i="3"/>
  <c r="I8" i="3"/>
  <c r="BZ39" i="3"/>
  <c r="I71" i="3"/>
  <c r="BZ36" i="3"/>
  <c r="H61" i="3"/>
  <c r="BZ7" i="3"/>
  <c r="H9" i="3"/>
  <c r="BZ37" i="3"/>
  <c r="I61" i="3"/>
  <c r="BZ21" i="3"/>
  <c r="I29" i="3"/>
  <c r="BZ27" i="3"/>
  <c r="I44" i="3"/>
  <c r="BZ23" i="3"/>
  <c r="I36" i="3"/>
  <c r="BZ50" i="3"/>
  <c r="H94" i="3"/>
  <c r="BZ26" i="3"/>
  <c r="H44" i="3"/>
  <c r="H25" i="3"/>
  <c r="I22" i="3"/>
  <c r="I20" i="3"/>
  <c r="H6" i="3"/>
  <c r="H78" i="3"/>
  <c r="I24" i="3"/>
  <c r="H23" i="3"/>
  <c r="H20" i="3"/>
  <c r="H8" i="3"/>
  <c r="I23" i="3"/>
  <c r="H21" i="3"/>
  <c r="H87" i="3"/>
  <c r="H88" i="3"/>
  <c r="H28" i="3"/>
  <c r="I32" i="3"/>
  <c r="H13" i="3"/>
  <c r="I15" i="3"/>
  <c r="I64" i="3"/>
  <c r="I81" i="3"/>
  <c r="I62" i="3"/>
  <c r="I93" i="3"/>
  <c r="CB52" i="3"/>
  <c r="H96" i="3"/>
  <c r="I38" i="3"/>
  <c r="CB22" i="3"/>
  <c r="I40" i="3"/>
  <c r="I97" i="3"/>
  <c r="H72" i="3"/>
  <c r="CB20" i="3"/>
  <c r="I92" i="3"/>
  <c r="H71" i="3"/>
  <c r="I70" i="3"/>
  <c r="H45" i="3"/>
  <c r="I48" i="3"/>
  <c r="H89" i="3"/>
  <c r="I37" i="3"/>
  <c r="I87" i="3"/>
  <c r="CA49" i="3"/>
  <c r="H39" i="3"/>
  <c r="H29" i="3"/>
  <c r="I41" i="3"/>
  <c r="I89" i="3"/>
  <c r="H77" i="3"/>
  <c r="I86" i="3"/>
  <c r="CA46" i="3"/>
  <c r="H40" i="3"/>
  <c r="I14" i="3"/>
  <c r="H12" i="3"/>
  <c r="I33" i="3"/>
  <c r="I94" i="3"/>
  <c r="I12" i="3"/>
  <c r="H15" i="3"/>
  <c r="CB12" i="3"/>
  <c r="CA20" i="3"/>
  <c r="H36" i="3"/>
  <c r="H55" i="3"/>
  <c r="H60" i="3"/>
  <c r="I57" i="3"/>
  <c r="I95" i="3"/>
  <c r="H63" i="3"/>
  <c r="I4" i="3"/>
  <c r="CA6" i="3"/>
  <c r="I39" i="3"/>
  <c r="H7" i="3"/>
  <c r="CB8" i="3"/>
  <c r="H16" i="3"/>
  <c r="H31" i="3"/>
  <c r="I6" i="3"/>
  <c r="H52" i="3"/>
  <c r="H69" i="3"/>
  <c r="CB41" i="3"/>
  <c r="H22" i="3"/>
  <c r="CB15" i="3"/>
  <c r="H4" i="3"/>
  <c r="H68" i="3"/>
  <c r="H5" i="3"/>
  <c r="I96" i="3"/>
  <c r="I78" i="3"/>
  <c r="I9" i="3"/>
  <c r="H92" i="3"/>
  <c r="H70" i="3"/>
  <c r="I31" i="3"/>
  <c r="I28" i="3"/>
  <c r="H65" i="3"/>
  <c r="H14" i="3"/>
  <c r="H48" i="3"/>
  <c r="I68" i="3"/>
  <c r="I45" i="3"/>
  <c r="CA32" i="3"/>
  <c r="H79" i="3"/>
  <c r="CA43" i="3"/>
  <c r="I63" i="3"/>
  <c r="H81" i="3"/>
  <c r="CB32" i="3"/>
  <c r="H47" i="3"/>
  <c r="I54" i="3"/>
  <c r="I49" i="3"/>
  <c r="H64" i="3"/>
  <c r="CA36" i="3"/>
  <c r="I56" i="3"/>
  <c r="I47" i="3"/>
  <c r="I65" i="3"/>
  <c r="H73" i="3"/>
  <c r="H46" i="3"/>
  <c r="H57" i="3"/>
  <c r="H32" i="3"/>
  <c r="H80" i="3"/>
  <c r="CB44" i="3"/>
  <c r="CA17" i="3"/>
  <c r="I76" i="3"/>
  <c r="I52" i="3"/>
  <c r="H86" i="3"/>
  <c r="I55" i="3"/>
  <c r="H84" i="3"/>
  <c r="I21" i="3"/>
  <c r="CA16" i="3"/>
  <c r="CB26" i="3"/>
  <c r="CB17" i="3"/>
  <c r="CA26" i="3"/>
  <c r="CB14" i="3"/>
  <c r="CA14" i="3"/>
  <c r="CB19" i="3"/>
  <c r="CA13" i="3"/>
  <c r="CB53" i="3"/>
  <c r="CA45" i="3"/>
  <c r="CB45" i="3"/>
  <c r="CB46" i="3"/>
  <c r="CC46" i="3"/>
  <c r="CB18" i="3"/>
  <c r="CA50" i="3"/>
  <c r="CB34" i="3"/>
  <c r="CB43" i="3"/>
  <c r="CC43" i="3"/>
  <c r="CA53" i="3"/>
  <c r="CC53" i="3"/>
  <c r="CA52" i="3"/>
  <c r="CC52" i="3"/>
  <c r="CB50" i="3"/>
  <c r="CB49" i="3"/>
  <c r="CC49" i="3"/>
  <c r="CA34" i="3"/>
  <c r="CA33" i="3"/>
  <c r="CA19" i="3"/>
  <c r="CC19" i="3"/>
  <c r="CB21" i="3"/>
  <c r="CA31" i="3"/>
  <c r="CA47" i="3"/>
  <c r="CB42" i="3"/>
  <c r="CB31" i="3"/>
  <c r="CB47" i="3"/>
  <c r="CA48" i="3"/>
  <c r="CB30" i="3"/>
  <c r="CB48" i="3"/>
  <c r="CA18" i="3"/>
  <c r="CA42" i="3"/>
  <c r="CA35" i="3"/>
  <c r="CB33" i="3"/>
  <c r="CB35" i="3"/>
  <c r="CA15" i="3"/>
  <c r="CC15" i="3"/>
  <c r="CA44" i="3"/>
  <c r="CC44" i="3"/>
  <c r="CC32" i="3"/>
  <c r="CA30" i="3"/>
  <c r="CA12" i="3"/>
  <c r="CC12" i="3"/>
  <c r="CB6" i="3"/>
  <c r="CC6" i="3"/>
  <c r="CB51" i="3"/>
  <c r="CA22" i="3"/>
  <c r="CC22" i="3"/>
  <c r="CB10" i="3"/>
  <c r="CC20" i="3"/>
  <c r="CA21" i="3"/>
  <c r="CB16" i="3"/>
  <c r="CC16" i="3"/>
  <c r="CC17" i="3"/>
  <c r="CA8" i="3"/>
  <c r="CC8" i="3"/>
  <c r="CB11" i="3"/>
  <c r="CB13" i="3"/>
  <c r="CA10" i="3"/>
  <c r="CA11" i="3"/>
  <c r="CA7" i="3"/>
  <c r="CB9" i="3"/>
  <c r="CA9" i="3"/>
  <c r="CB7" i="3"/>
  <c r="CB39" i="3"/>
  <c r="CB38" i="3"/>
  <c r="CA27" i="3"/>
  <c r="CA41" i="3"/>
  <c r="CC41" i="3"/>
  <c r="CB37" i="3"/>
  <c r="CA39" i="3"/>
  <c r="CA23" i="3"/>
  <c r="CA24" i="3"/>
  <c r="CB36" i="3"/>
  <c r="CC36" i="3"/>
  <c r="CA37" i="3"/>
  <c r="CA25" i="3"/>
  <c r="CA29" i="3"/>
  <c r="CA51" i="3"/>
  <c r="CA40" i="3"/>
  <c r="CB24" i="3"/>
  <c r="CB23" i="3"/>
  <c r="CB40" i="3"/>
  <c r="CB29" i="3"/>
  <c r="CB25" i="3"/>
  <c r="CA38" i="3"/>
  <c r="CB27" i="3"/>
  <c r="CA28" i="3"/>
  <c r="CB28" i="3"/>
  <c r="CC26" i="3"/>
  <c r="CC14" i="3"/>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c r="K16" i="3"/>
  <c r="CE52" i="3"/>
  <c r="L94" i="3"/>
  <c r="CE47" i="3"/>
  <c r="K89" i="3"/>
  <c r="CE48" i="3"/>
  <c r="CE40" i="3"/>
  <c r="K69" i="3"/>
  <c r="CE9" i="3"/>
  <c r="L5" i="3"/>
  <c r="CE43" i="3"/>
  <c r="K80" i="3"/>
  <c r="CE34" i="3"/>
  <c r="K62" i="3"/>
  <c r="CE27" i="3"/>
  <c r="L47" i="3"/>
  <c r="CE17" i="3"/>
  <c r="K22" i="3"/>
  <c r="CE10" i="3"/>
  <c r="L16" i="3"/>
  <c r="CE26" i="3"/>
  <c r="K46" i="3"/>
  <c r="CE37" i="3"/>
  <c r="L61" i="3"/>
  <c r="CE18" i="3"/>
  <c r="L32" i="3"/>
  <c r="CE22" i="3"/>
  <c r="L41" i="3"/>
  <c r="CE19" i="3"/>
  <c r="L28" i="3"/>
  <c r="CE11" i="3"/>
  <c r="L12" i="3"/>
  <c r="CE14" i="3"/>
  <c r="L24" i="3"/>
  <c r="CE42" i="3"/>
  <c r="L81" i="3"/>
  <c r="CE6" i="3"/>
  <c r="K7" i="3"/>
  <c r="CE41" i="3"/>
  <c r="L69" i="3"/>
  <c r="CE39" i="3"/>
  <c r="K73" i="3"/>
  <c r="CE28" i="3"/>
  <c r="L46" i="3"/>
  <c r="CE46" i="3"/>
  <c r="K86" i="3"/>
  <c r="CE21" i="3"/>
  <c r="K32" i="3"/>
  <c r="CE7" i="3"/>
  <c r="K9" i="3"/>
  <c r="CE53" i="3"/>
  <c r="K96" i="3"/>
  <c r="CE24" i="3"/>
  <c r="L40" i="3"/>
  <c r="CE30" i="3"/>
  <c r="K52" i="3"/>
  <c r="CE33" i="3"/>
  <c r="L53" i="3"/>
  <c r="CE31" i="3"/>
  <c r="K56" i="3"/>
  <c r="CE8" i="3"/>
  <c r="L7" i="3"/>
  <c r="CE23" i="3"/>
  <c r="K40" i="3"/>
  <c r="CE35" i="3"/>
  <c r="K64" i="3"/>
  <c r="CE29" i="3"/>
  <c r="K49" i="3"/>
  <c r="CE16" i="3"/>
  <c r="L23" i="3"/>
  <c r="CE12" i="3"/>
  <c r="L15" i="3"/>
  <c r="CE20" i="3"/>
  <c r="L33" i="3"/>
  <c r="CE51" i="3"/>
  <c r="L92" i="3"/>
  <c r="CE45" i="3"/>
  <c r="K81" i="3"/>
  <c r="CE38" i="3"/>
  <c r="K68" i="3"/>
  <c r="CE36" i="3"/>
  <c r="L62" i="3"/>
  <c r="CE15" i="3"/>
  <c r="L22" i="3"/>
  <c r="CE25" i="3"/>
  <c r="K41" i="3"/>
  <c r="CE50" i="3"/>
  <c r="L96" i="3"/>
  <c r="CE32" i="3"/>
  <c r="L54" i="3"/>
  <c r="CE44" i="3"/>
  <c r="K77" i="3"/>
  <c r="CE49" i="3"/>
  <c r="L85" i="3"/>
  <c r="L97" i="3"/>
  <c r="K93" i="3"/>
  <c r="L84" i="3"/>
  <c r="K14" i="3"/>
  <c r="L87" i="3"/>
  <c r="K24" i="3"/>
  <c r="L13" i="3"/>
  <c r="K12" i="3"/>
  <c r="CF48" i="3"/>
  <c r="K23" i="3"/>
  <c r="L86" i="3"/>
  <c r="L89" i="3"/>
  <c r="K85" i="3"/>
  <c r="L38" i="3"/>
  <c r="K4" i="3"/>
  <c r="K8" i="3"/>
  <c r="K28" i="3"/>
  <c r="L71" i="3"/>
  <c r="K55" i="3"/>
  <c r="L4" i="3"/>
  <c r="L70" i="3"/>
  <c r="L73" i="3"/>
  <c r="L20" i="3"/>
  <c r="CF14" i="3"/>
  <c r="L48" i="3"/>
  <c r="L6" i="3"/>
  <c r="K36" i="3"/>
  <c r="K61" i="3"/>
  <c r="L52" i="3"/>
  <c r="L88" i="3"/>
  <c r="CF49" i="3"/>
  <c r="K45" i="3"/>
  <c r="K57" i="3"/>
  <c r="K6" i="3"/>
  <c r="L76" i="3"/>
  <c r="L31" i="3"/>
  <c r="CF8" i="3"/>
  <c r="L39" i="3"/>
  <c r="K94" i="3"/>
  <c r="K30" i="3"/>
  <c r="L79" i="3"/>
  <c r="L65" i="3"/>
  <c r="L55" i="3"/>
  <c r="K60" i="3"/>
  <c r="K84" i="3"/>
  <c r="K17" i="3"/>
  <c r="L68" i="3"/>
  <c r="K29" i="3"/>
  <c r="CF21" i="3"/>
  <c r="K5" i="3"/>
  <c r="L29" i="3"/>
  <c r="K13" i="3"/>
  <c r="K48" i="3"/>
  <c r="K92" i="3"/>
  <c r="L17" i="3"/>
  <c r="CF11" i="3"/>
  <c r="K21" i="3"/>
  <c r="CF17" i="3"/>
  <c r="L36" i="3"/>
  <c r="CF22" i="3"/>
  <c r="K38" i="3"/>
  <c r="L56" i="3"/>
  <c r="CF31" i="3"/>
  <c r="L44" i="3"/>
  <c r="CF26" i="3"/>
  <c r="CF50" i="3"/>
  <c r="K33" i="3"/>
  <c r="L9" i="3"/>
  <c r="L57" i="3"/>
  <c r="K72" i="3"/>
  <c r="K25" i="3"/>
  <c r="K71" i="3"/>
  <c r="K39" i="3"/>
  <c r="K44" i="3"/>
  <c r="L64" i="3"/>
  <c r="L14" i="3"/>
  <c r="K65" i="3"/>
  <c r="K63" i="3"/>
  <c r="CF35" i="3"/>
  <c r="CF36" i="3"/>
  <c r="L60" i="3"/>
  <c r="K31" i="3"/>
  <c r="K20" i="3"/>
  <c r="K78" i="3"/>
  <c r="K95" i="3"/>
  <c r="CF10" i="3"/>
  <c r="L21" i="3"/>
  <c r="K15" i="3"/>
  <c r="K54" i="3"/>
  <c r="CF32" i="3"/>
  <c r="K76" i="3"/>
  <c r="L93" i="3"/>
  <c r="L25" i="3"/>
  <c r="L49" i="3"/>
  <c r="K37" i="3"/>
  <c r="L45" i="3"/>
  <c r="L63" i="3"/>
  <c r="K47" i="3"/>
  <c r="L8" i="3"/>
  <c r="L30" i="3"/>
  <c r="CF18" i="3"/>
  <c r="L37" i="3"/>
  <c r="L72" i="3"/>
  <c r="K79" i="3"/>
  <c r="K70" i="3"/>
  <c r="CF40" i="3"/>
  <c r="CF45" i="3"/>
  <c r="K97" i="3"/>
  <c r="L77" i="3"/>
  <c r="L95" i="3"/>
  <c r="CF53" i="3"/>
  <c r="L78" i="3"/>
  <c r="K88" i="3"/>
  <c r="CF46" i="3"/>
  <c r="L80" i="3"/>
  <c r="K53" i="3"/>
  <c r="K87" i="3"/>
  <c r="CF47"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c r="N93" i="3"/>
  <c r="CH53" i="3"/>
  <c r="CI53" i="3"/>
  <c r="CH36" i="3"/>
  <c r="O62" i="3"/>
  <c r="CH45" i="3"/>
  <c r="N79" i="3"/>
  <c r="CH44" i="3"/>
  <c r="O80" i="3"/>
  <c r="CH34" i="3"/>
  <c r="N62" i="3"/>
  <c r="CH37" i="3"/>
  <c r="N63" i="3"/>
  <c r="CH16" i="3"/>
  <c r="N21" i="3"/>
  <c r="CH31" i="3"/>
  <c r="CH21" i="3"/>
  <c r="N31" i="3"/>
  <c r="CH27" i="3"/>
  <c r="N48" i="3"/>
  <c r="CH51" i="3"/>
  <c r="O92" i="3"/>
  <c r="CH30" i="3"/>
  <c r="CH39" i="3"/>
  <c r="O71" i="3"/>
  <c r="CH48" i="3"/>
  <c r="O86" i="3"/>
  <c r="CH23" i="3"/>
  <c r="O39" i="3"/>
  <c r="CH22" i="3"/>
  <c r="N38" i="3"/>
  <c r="CH35" i="3"/>
  <c r="N64" i="3"/>
  <c r="CH49" i="3"/>
  <c r="O85" i="3"/>
  <c r="CH46" i="3"/>
  <c r="O88" i="3"/>
  <c r="CH24" i="3"/>
  <c r="O38" i="3"/>
  <c r="CH8" i="3"/>
  <c r="O7" i="3"/>
  <c r="CH32" i="3"/>
  <c r="CI32" i="3"/>
  <c r="CH38" i="3"/>
  <c r="N70" i="3"/>
  <c r="CH20" i="3"/>
  <c r="CH41" i="3"/>
  <c r="N71" i="3"/>
  <c r="CH18" i="3"/>
  <c r="N28" i="3"/>
  <c r="CH33" i="3"/>
  <c r="N57" i="3"/>
  <c r="CH7" i="3"/>
  <c r="O6" i="3"/>
  <c r="CH25" i="3"/>
  <c r="N41" i="3"/>
  <c r="CH28" i="3"/>
  <c r="O48" i="3"/>
  <c r="CH47" i="3"/>
  <c r="N89" i="3"/>
  <c r="CH29" i="3"/>
  <c r="O45" i="3"/>
  <c r="CH6" i="3"/>
  <c r="O8" i="3"/>
  <c r="CH42" i="3"/>
  <c r="CH43" i="3"/>
  <c r="O76" i="3"/>
  <c r="CH50" i="3"/>
  <c r="CH10" i="3"/>
  <c r="O16" i="3"/>
  <c r="CH17" i="3"/>
  <c r="CI17" i="3"/>
  <c r="CH15" i="3"/>
  <c r="CK15" i="3"/>
  <c r="CH9" i="3"/>
  <c r="CH12" i="3"/>
  <c r="O17" i="3"/>
  <c r="CH19" i="3"/>
  <c r="O28" i="3"/>
  <c r="CH26" i="3"/>
  <c r="CH40" i="3"/>
  <c r="CH11" i="3"/>
  <c r="O12" i="3"/>
  <c r="CH14" i="3"/>
  <c r="CH13" i="3"/>
  <c r="O13" i="3"/>
  <c r="O94" i="3"/>
  <c r="N56" i="3"/>
  <c r="CI36" i="3"/>
  <c r="N61" i="3"/>
  <c r="N96" i="3"/>
  <c r="O97" i="3"/>
  <c r="O93" i="3"/>
  <c r="N95" i="3"/>
  <c r="CI30" i="3"/>
  <c r="O47" i="3"/>
  <c r="CK36" i="3"/>
  <c r="O44" i="3"/>
  <c r="O64" i="3"/>
  <c r="O95" i="3"/>
  <c r="CI42" i="3"/>
  <c r="CI51" i="3"/>
  <c r="N29" i="3"/>
  <c r="CJ50" i="3"/>
  <c r="CI9" i="3"/>
  <c r="O55" i="3"/>
  <c r="O33" i="3"/>
  <c r="CJ19" i="3"/>
  <c r="N9" i="3"/>
  <c r="N36" i="3"/>
  <c r="O41" i="3"/>
  <c r="O4" i="3"/>
  <c r="O69" i="3"/>
  <c r="CK40" i="3"/>
  <c r="CI35" i="3"/>
  <c r="N72" i="3"/>
  <c r="CK21" i="3"/>
  <c r="O30" i="3"/>
  <c r="N32" i="3"/>
  <c r="CJ18" i="3"/>
  <c r="N7" i="3"/>
  <c r="O29" i="3"/>
  <c r="CI20" i="3"/>
  <c r="N49" i="3"/>
  <c r="N52" i="3"/>
  <c r="CK24" i="3"/>
  <c r="N54" i="3"/>
  <c r="N37" i="3"/>
  <c r="CK25" i="3"/>
  <c r="N8" i="3"/>
  <c r="CI6" i="3"/>
  <c r="CK22" i="3"/>
  <c r="CK41" i="3"/>
  <c r="O52" i="3"/>
  <c r="N97" i="3"/>
  <c r="O77" i="3"/>
  <c r="CI44" i="3"/>
  <c r="N80" i="3"/>
  <c r="N55" i="3"/>
  <c r="CI31" i="3"/>
  <c r="N81" i="3"/>
  <c r="N84" i="3"/>
  <c r="CI45" i="3"/>
  <c r="O5" i="3"/>
  <c r="CI8" i="3"/>
  <c r="N47" i="3"/>
  <c r="CI27" i="3"/>
  <c r="CK46" i="3"/>
  <c r="CI33" i="3"/>
  <c r="O53" i="3"/>
  <c r="O79" i="3"/>
  <c r="N6" i="3"/>
  <c r="N86" i="3"/>
  <c r="O32" i="3"/>
  <c r="CI21" i="3"/>
  <c r="CI12" i="3"/>
  <c r="CI43" i="3"/>
  <c r="N88" i="3"/>
  <c r="N30" i="3"/>
  <c r="CK20" i="3"/>
  <c r="CI25" i="3"/>
  <c r="CK6" i="3"/>
  <c r="CK18" i="3"/>
  <c r="CI18" i="3"/>
  <c r="N73" i="3"/>
  <c r="CI34" i="3"/>
  <c r="CI49" i="3"/>
  <c r="N15" i="3"/>
  <c r="CK12" i="3"/>
  <c r="CI37" i="3"/>
  <c r="CI11" i="3"/>
  <c r="O96" i="3"/>
  <c r="CJ53" i="3"/>
  <c r="CL53" i="3"/>
  <c r="CK34" i="3"/>
  <c r="CK8" i="3"/>
  <c r="CI39" i="3"/>
  <c r="CK30" i="3"/>
  <c r="N68" i="3"/>
  <c r="CK39" i="3"/>
  <c r="CK50" i="3"/>
  <c r="O40" i="3"/>
  <c r="O15" i="3"/>
  <c r="CI10" i="3"/>
  <c r="N65" i="3"/>
  <c r="O9" i="3"/>
  <c r="CI7" i="3"/>
  <c r="CI23" i="3"/>
  <c r="O36" i="3"/>
  <c r="CJ22" i="3"/>
  <c r="O61" i="3"/>
  <c r="CJ36" i="3"/>
  <c r="CL36" i="3"/>
  <c r="CI47" i="3"/>
  <c r="N13" i="3"/>
  <c r="O68" i="3"/>
  <c r="O57" i="3"/>
  <c r="O65" i="3"/>
  <c r="CK37" i="3"/>
  <c r="N40" i="3"/>
  <c r="O31" i="3"/>
  <c r="CJ21" i="3"/>
  <c r="N92" i="3"/>
  <c r="CK51" i="3"/>
  <c r="N77" i="3"/>
  <c r="CK45" i="3"/>
  <c r="CI19" i="3"/>
  <c r="CI50" i="3"/>
  <c r="O25" i="3"/>
  <c r="O37" i="3"/>
  <c r="CI24" i="3"/>
  <c r="N5" i="3"/>
  <c r="CJ9" i="3"/>
  <c r="O72" i="3"/>
  <c r="O84" i="3"/>
  <c r="CI46" i="3"/>
  <c r="O87" i="3"/>
  <c r="N60" i="3"/>
  <c r="CK35" i="3"/>
  <c r="O78" i="3"/>
  <c r="O23" i="3"/>
  <c r="N94" i="3"/>
  <c r="CK52" i="3"/>
  <c r="N39" i="3"/>
  <c r="CK38" i="3"/>
  <c r="CI52" i="3"/>
  <c r="N4" i="3"/>
  <c r="CK7" i="3"/>
  <c r="CK19" i="3"/>
  <c r="N87" i="3"/>
  <c r="N25" i="3"/>
  <c r="CK16" i="3"/>
  <c r="O22" i="3"/>
  <c r="N76" i="3"/>
  <c r="CJ43" i="3"/>
  <c r="O49" i="3"/>
  <c r="CI29" i="3"/>
  <c r="N46" i="3"/>
  <c r="CJ28" i="3"/>
  <c r="N53" i="3"/>
  <c r="CK28" i="3"/>
  <c r="CK48" i="3"/>
  <c r="N85" i="3"/>
  <c r="N44" i="3"/>
  <c r="CK27" i="3"/>
  <c r="N12" i="3"/>
  <c r="O54" i="3"/>
  <c r="O89" i="3"/>
  <c r="CK47" i="3"/>
  <c r="O56" i="3"/>
  <c r="N24" i="3"/>
  <c r="O46" i="3"/>
  <c r="CI26" i="3"/>
  <c r="CI28" i="3"/>
  <c r="O21" i="3"/>
  <c r="CI16" i="3"/>
  <c r="N45" i="3"/>
  <c r="CK29" i="3"/>
  <c r="CK32" i="3"/>
  <c r="N16" i="3"/>
  <c r="CK10" i="3"/>
  <c r="CI48" i="3"/>
  <c r="CK26" i="3"/>
  <c r="CJ48" i="3"/>
  <c r="O20" i="3"/>
  <c r="N33" i="3"/>
  <c r="N69" i="3"/>
  <c r="O73" i="3"/>
  <c r="O60" i="3"/>
  <c r="O63" i="3"/>
  <c r="CI40" i="3"/>
  <c r="O70" i="3"/>
  <c r="CK17" i="3"/>
  <c r="N22" i="3"/>
  <c r="CK42" i="3"/>
  <c r="N78" i="3"/>
  <c r="CK44" i="3"/>
  <c r="O81" i="3"/>
  <c r="N14" i="3"/>
  <c r="CK11" i="3"/>
  <c r="CK13" i="3"/>
  <c r="N23" i="3"/>
  <c r="N20" i="3"/>
  <c r="O24" i="3"/>
  <c r="N17" i="3"/>
  <c r="O14" i="3"/>
  <c r="CI13" i="3"/>
  <c r="CK33" i="3"/>
  <c r="CK53" i="3"/>
  <c r="CK14" i="3"/>
  <c r="CK49" i="3"/>
  <c r="CK31" i="3"/>
  <c r="CI15" i="3"/>
  <c r="CK23" i="3"/>
  <c r="CI14" i="3"/>
  <c r="CI38" i="3"/>
  <c r="CK43" i="3"/>
  <c r="CI41" i="3"/>
  <c r="CI22" i="3"/>
  <c r="CL22" i="3"/>
  <c r="CL50" i="3"/>
  <c r="CJ30" i="3"/>
  <c r="CL30" i="3"/>
  <c r="CJ32" i="3"/>
  <c r="CL32" i="3"/>
  <c r="CJ52" i="3"/>
  <c r="CL52" i="3"/>
  <c r="CJ40" i="3"/>
  <c r="CL40" i="3"/>
  <c r="CL9" i="3"/>
  <c r="CJ26" i="3"/>
  <c r="CL26" i="3"/>
  <c r="CJ51" i="3"/>
  <c r="CL51" i="3"/>
  <c r="CJ45" i="3"/>
  <c r="CL45" i="3"/>
  <c r="CJ42" i="3"/>
  <c r="CL42" i="3"/>
  <c r="CL48" i="3"/>
  <c r="CJ47" i="3"/>
  <c r="CL47" i="3"/>
  <c r="CJ13" i="3"/>
  <c r="CL13" i="3"/>
  <c r="CJ44" i="3"/>
  <c r="CL44" i="3"/>
  <c r="CJ49" i="3"/>
  <c r="CL49" i="3"/>
  <c r="CL43" i="3"/>
  <c r="CJ46" i="3"/>
  <c r="CL46" i="3"/>
  <c r="CJ38" i="3"/>
  <c r="CJ33" i="3"/>
  <c r="CL33" i="3"/>
  <c r="CJ35" i="3"/>
  <c r="CL35" i="3"/>
  <c r="CJ31" i="3"/>
  <c r="CL31" i="3"/>
  <c r="CJ34" i="3"/>
  <c r="CL34" i="3"/>
  <c r="CL28" i="3"/>
  <c r="CJ17" i="3"/>
  <c r="CL17" i="3"/>
  <c r="CJ24" i="3"/>
  <c r="CL24" i="3"/>
  <c r="CJ11" i="3"/>
  <c r="CL11" i="3"/>
  <c r="CJ20" i="3"/>
  <c r="CL20" i="3"/>
  <c r="CJ15" i="3"/>
  <c r="CL15" i="3"/>
  <c r="CJ14" i="3"/>
  <c r="CL19" i="3"/>
  <c r="CJ16" i="3"/>
  <c r="CL16" i="3"/>
  <c r="CL18" i="3"/>
  <c r="CL21" i="3"/>
  <c r="CK9" i="3"/>
  <c r="CJ10" i="3"/>
  <c r="CL10" i="3"/>
  <c r="CJ12" i="3"/>
  <c r="CL12" i="3"/>
  <c r="CJ25" i="3"/>
  <c r="CL25" i="3"/>
  <c r="CJ8" i="3"/>
  <c r="CL8" i="3"/>
  <c r="CJ6" i="3"/>
  <c r="CL6" i="3"/>
  <c r="CJ7" i="3"/>
  <c r="CL7" i="3"/>
  <c r="CJ23" i="3"/>
  <c r="CL23" i="3"/>
  <c r="CJ37" i="3"/>
  <c r="CL37" i="3"/>
  <c r="CJ39" i="3"/>
  <c r="CL39" i="3"/>
  <c r="CJ41" i="3"/>
  <c r="CL41" i="3"/>
  <c r="CJ29" i="3"/>
  <c r="CL29" i="3"/>
  <c r="CJ27" i="3"/>
  <c r="CL27" i="3"/>
  <c r="CL38" i="3"/>
  <c r="CM53" i="3"/>
  <c r="CL14"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48" i="3"/>
  <c r="CM46" i="3"/>
  <c r="CM50" i="3"/>
  <c r="CM45" i="3"/>
  <c r="CN8" i="3"/>
  <c r="Q5" i="3"/>
  <c r="CN10" i="3"/>
  <c r="Q15" i="3"/>
  <c r="CN39" i="3"/>
  <c r="R71" i="3"/>
  <c r="CN52" i="3"/>
  <c r="R97" i="3"/>
  <c r="CN24" i="3"/>
  <c r="Q37" i="3"/>
  <c r="CN27" i="3"/>
  <c r="R47" i="3"/>
  <c r="CN29" i="3"/>
  <c r="Q47" i="3"/>
  <c r="CN9" i="3"/>
  <c r="Q6" i="3"/>
  <c r="CN6" i="3"/>
  <c r="Q7" i="3"/>
  <c r="CN15" i="3"/>
  <c r="Q25" i="3"/>
  <c r="CN45" i="3"/>
  <c r="Q79" i="3"/>
  <c r="CN40" i="3"/>
  <c r="R73" i="3"/>
  <c r="CN35" i="3"/>
  <c r="R63" i="3"/>
  <c r="CN20" i="3"/>
  <c r="R33" i="3"/>
  <c r="CN41" i="3"/>
  <c r="Q71" i="3"/>
  <c r="CN11" i="3"/>
  <c r="CN50" i="3"/>
  <c r="Q94" i="3"/>
  <c r="CN31" i="3"/>
  <c r="R52" i="3"/>
  <c r="CN53" i="3"/>
  <c r="Q95" i="3"/>
  <c r="CN22" i="3"/>
  <c r="Q36" i="3"/>
  <c r="CN17" i="3"/>
  <c r="Q24" i="3"/>
  <c r="CN18" i="3"/>
  <c r="Q28" i="3"/>
  <c r="CN30" i="3"/>
  <c r="R57" i="3"/>
  <c r="CN34" i="3"/>
  <c r="R65" i="3"/>
  <c r="CN16" i="3"/>
  <c r="R25" i="3"/>
  <c r="CN46" i="3"/>
  <c r="Q84" i="3"/>
  <c r="CN23" i="3"/>
  <c r="R36" i="3"/>
  <c r="CN13" i="3"/>
  <c r="R13" i="3"/>
  <c r="CN12" i="3"/>
  <c r="R15" i="3"/>
  <c r="CN42" i="3"/>
  <c r="Q76" i="3"/>
  <c r="CN28" i="3"/>
  <c r="R46" i="3"/>
  <c r="CN19" i="3"/>
  <c r="Q33" i="3"/>
  <c r="CN7" i="3"/>
  <c r="R4" i="3"/>
  <c r="CN44" i="3"/>
  <c r="R80" i="3"/>
  <c r="CN37" i="3"/>
  <c r="R61" i="3"/>
  <c r="CN51" i="3"/>
  <c r="R92" i="3"/>
  <c r="CN49" i="3"/>
  <c r="Q87" i="3"/>
  <c r="CN26" i="3"/>
  <c r="Q44" i="3"/>
  <c r="CN14" i="3"/>
  <c r="Q20" i="3"/>
  <c r="CN21" i="3"/>
  <c r="Q32" i="3"/>
  <c r="CN43" i="3"/>
  <c r="R76" i="3"/>
  <c r="CN33" i="3"/>
  <c r="Q57" i="3"/>
  <c r="CN38" i="3"/>
  <c r="Q70" i="3"/>
  <c r="CN48" i="3"/>
  <c r="R86" i="3"/>
  <c r="CN47" i="3"/>
  <c r="Q89" i="3"/>
  <c r="CN36" i="3"/>
  <c r="R64" i="3"/>
  <c r="R12" i="3"/>
  <c r="Q17" i="3"/>
  <c r="R14" i="3"/>
  <c r="CN32" i="3"/>
  <c r="Q53" i="3"/>
  <c r="CN25" i="3"/>
  <c r="R37" i="3"/>
  <c r="Q9" i="3"/>
  <c r="R29" i="3"/>
  <c r="R6" i="3"/>
  <c r="R40" i="3"/>
  <c r="Q60" i="3"/>
  <c r="Q62" i="3"/>
  <c r="R38" i="3"/>
  <c r="CP22" i="3"/>
  <c r="R28" i="3"/>
  <c r="R81" i="3"/>
  <c r="Q69" i="3"/>
  <c r="R70" i="3"/>
  <c r="Q96" i="3"/>
  <c r="Q72" i="3"/>
  <c r="R44" i="3"/>
  <c r="R32" i="3"/>
  <c r="R69" i="3"/>
  <c r="Q80" i="3"/>
  <c r="R31" i="3"/>
  <c r="Q16" i="3"/>
  <c r="Q12" i="3"/>
  <c r="Q93" i="3"/>
  <c r="R16" i="3"/>
  <c r="R79" i="3"/>
  <c r="CO45" i="3"/>
  <c r="Q63" i="3"/>
  <c r="Q21" i="3"/>
  <c r="Q38" i="3"/>
  <c r="R23" i="3"/>
  <c r="Q14" i="3"/>
  <c r="R96" i="3"/>
  <c r="R55" i="3"/>
  <c r="R41" i="3"/>
  <c r="R93" i="3"/>
  <c r="R7" i="3"/>
  <c r="R88" i="3"/>
  <c r="R85" i="3"/>
  <c r="R95" i="3"/>
  <c r="Q22" i="3"/>
  <c r="Q56" i="3"/>
  <c r="R77" i="3"/>
  <c r="R21" i="3"/>
  <c r="Q31" i="3"/>
  <c r="CO19" i="3"/>
  <c r="Q45" i="3"/>
  <c r="R39" i="3"/>
  <c r="Q73" i="3"/>
  <c r="Q97" i="3"/>
  <c r="Q8" i="3"/>
  <c r="R5" i="3"/>
  <c r="CO8" i="3"/>
  <c r="Q40" i="3"/>
  <c r="Q88" i="3"/>
  <c r="CP12" i="3"/>
  <c r="Q13" i="3"/>
  <c r="R9" i="3"/>
  <c r="CO23" i="3"/>
  <c r="Q92" i="3"/>
  <c r="CP51" i="3"/>
  <c r="R94" i="3"/>
  <c r="CP50" i="3"/>
  <c r="Q65" i="3"/>
  <c r="R17" i="3"/>
  <c r="Q29" i="3"/>
  <c r="Q52" i="3"/>
  <c r="Q54" i="3"/>
  <c r="Q81" i="3"/>
  <c r="CP42" i="3"/>
  <c r="R45" i="3"/>
  <c r="Q49" i="3"/>
  <c r="Q64" i="3"/>
  <c r="R68" i="3"/>
  <c r="R8" i="3"/>
  <c r="CO9" i="3"/>
  <c r="R60" i="3"/>
  <c r="Q4" i="3"/>
  <c r="CP45" i="3"/>
  <c r="CO22" i="3"/>
  <c r="CP47" i="3"/>
  <c r="CO47" i="3"/>
  <c r="CO12" i="3"/>
  <c r="CP23" i="3"/>
  <c r="Q48" i="3"/>
  <c r="R22" i="3"/>
  <c r="Q46" i="3"/>
  <c r="R20" i="3"/>
  <c r="R30" i="3"/>
  <c r="CO18" i="3"/>
  <c r="Q86" i="3"/>
  <c r="Q68" i="3"/>
  <c r="CP39" i="3"/>
  <c r="Q78" i="3"/>
  <c r="R49" i="3"/>
  <c r="Q30" i="3"/>
  <c r="CP20" i="3"/>
  <c r="CO43" i="3"/>
  <c r="CP43" i="3"/>
  <c r="CQ43" i="3"/>
  <c r="R56" i="3"/>
  <c r="CO15" i="3"/>
  <c r="R48" i="3"/>
  <c r="CO27" i="3"/>
  <c r="CO10" i="3"/>
  <c r="R72" i="3"/>
  <c r="Q23" i="3"/>
  <c r="R24" i="3"/>
  <c r="R84" i="3"/>
  <c r="R87" i="3"/>
  <c r="R54" i="3"/>
  <c r="Q77" i="3"/>
  <c r="R78" i="3"/>
  <c r="CP36" i="3"/>
  <c r="R53" i="3"/>
  <c r="Q85" i="3"/>
  <c r="R89" i="3"/>
  <c r="CP33" i="3"/>
  <c r="Q55" i="3"/>
  <c r="CP31" i="3"/>
  <c r="R62" i="3"/>
  <c r="Q61" i="3"/>
  <c r="CP37" i="3"/>
  <c r="Q39" i="3"/>
  <c r="Q41" i="3"/>
  <c r="CP53" i="3"/>
  <c r="CP44" i="3"/>
  <c r="CO26" i="3"/>
  <c r="CO53" i="3"/>
  <c r="CO35" i="3"/>
  <c r="CP49" i="3"/>
  <c r="CP35" i="3"/>
  <c r="CP34" i="3"/>
  <c r="CP48" i="3"/>
  <c r="CO24" i="3"/>
  <c r="CP38" i="3"/>
  <c r="CP14" i="3"/>
  <c r="CP46" i="3"/>
  <c r="CO34" i="3"/>
  <c r="CO50" i="3"/>
  <c r="CQ50" i="3"/>
  <c r="CQ22" i="3"/>
  <c r="CP40" i="3"/>
  <c r="CO46" i="3"/>
  <c r="CP24" i="3"/>
  <c r="CO21" i="3"/>
  <c r="CO40" i="3"/>
  <c r="CO49" i="3"/>
  <c r="CO48" i="3"/>
  <c r="CO11" i="3"/>
  <c r="CO38" i="3"/>
  <c r="CP32" i="3"/>
  <c r="CP16" i="3"/>
  <c r="CO42" i="3"/>
  <c r="CQ42" i="3"/>
  <c r="CP10" i="3"/>
  <c r="CQ10" i="3"/>
  <c r="CO44" i="3"/>
  <c r="CO32" i="3"/>
  <c r="CP28" i="3"/>
  <c r="CP17" i="3"/>
  <c r="CO28" i="3"/>
  <c r="CP26" i="3"/>
  <c r="CQ26" i="3"/>
  <c r="CP9" i="3"/>
  <c r="CQ9" i="3"/>
  <c r="CP15" i="3"/>
  <c r="CQ15" i="3"/>
  <c r="CP13" i="3"/>
  <c r="CO17" i="3"/>
  <c r="CP21" i="3"/>
  <c r="CP18" i="3"/>
  <c r="CQ18" i="3"/>
  <c r="CO16" i="3"/>
  <c r="CO20" i="3"/>
  <c r="CP19" i="3"/>
  <c r="CQ19" i="3"/>
  <c r="CO14" i="3"/>
  <c r="CP11" i="3"/>
  <c r="CQ12" i="3"/>
  <c r="CO13" i="3"/>
  <c r="CO7" i="3"/>
  <c r="CO6" i="3"/>
  <c r="CP6" i="3"/>
  <c r="CP8" i="3"/>
  <c r="CQ8" i="3"/>
  <c r="CP7" i="3"/>
  <c r="CP52" i="3"/>
  <c r="CP27" i="3"/>
  <c r="CQ27" i="3"/>
  <c r="CO52" i="3"/>
  <c r="CO41" i="3"/>
  <c r="CO29" i="3"/>
  <c r="CQ23" i="3"/>
  <c r="CP29" i="3"/>
  <c r="CO51" i="3"/>
  <c r="CQ51" i="3"/>
  <c r="CO33" i="3"/>
  <c r="CQ33" i="3"/>
  <c r="CO39" i="3"/>
  <c r="CQ39" i="3"/>
  <c r="CO25" i="3"/>
  <c r="CP25" i="3"/>
  <c r="CP41" i="3"/>
  <c r="CO36" i="3"/>
  <c r="CQ36" i="3"/>
  <c r="CQ45" i="3"/>
  <c r="CQ53" i="3"/>
  <c r="CQ47" i="3"/>
  <c r="CO31" i="3"/>
  <c r="CO37" i="3"/>
  <c r="CQ37" i="3"/>
  <c r="CO30" i="3"/>
  <c r="CP30" i="3"/>
  <c r="CQ20" i="3"/>
  <c r="CQ44" i="3"/>
  <c r="CQ35" i="3"/>
  <c r="CQ49" i="3"/>
  <c r="CQ24" i="3"/>
  <c r="CQ48" i="3"/>
  <c r="CQ34" i="3"/>
  <c r="CQ14" i="3"/>
  <c r="CQ21" i="3"/>
  <c r="CQ46" i="3"/>
  <c r="CQ16" i="3"/>
  <c r="CQ40" i="3"/>
  <c r="CQ38" i="3"/>
  <c r="CQ11" i="3"/>
  <c r="CQ31" i="3"/>
  <c r="CQ32" i="3"/>
  <c r="CQ28" i="3"/>
  <c r="CQ13" i="3"/>
  <c r="CQ17" i="3"/>
  <c r="CQ7" i="3"/>
  <c r="CQ6" i="3"/>
  <c r="CQ41" i="3"/>
  <c r="CQ52" i="3"/>
  <c r="CQ29" i="3"/>
  <c r="CQ25" i="3"/>
  <c r="CQ30" i="3"/>
  <c r="CR50" i="3"/>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c r="U40" i="3"/>
  <c r="CS36" i="3"/>
  <c r="U62" i="3"/>
  <c r="CS46" i="3"/>
  <c r="U88" i="3"/>
  <c r="CS30" i="3"/>
  <c r="T52" i="3"/>
  <c r="CS10" i="3"/>
  <c r="T15" i="3"/>
  <c r="CS48" i="3"/>
  <c r="U89" i="3"/>
  <c r="CS47" i="3"/>
  <c r="U84" i="3"/>
  <c r="CS13" i="3"/>
  <c r="T14" i="3"/>
  <c r="CS35" i="3"/>
  <c r="U63" i="3"/>
  <c r="CS39" i="3"/>
  <c r="U71" i="3"/>
  <c r="CS16" i="3"/>
  <c r="U23" i="3"/>
  <c r="CS25" i="3"/>
  <c r="T39" i="3"/>
  <c r="CS22" i="3"/>
  <c r="T38" i="3"/>
  <c r="CS49" i="3"/>
  <c r="U85" i="3"/>
  <c r="CS11" i="3"/>
  <c r="T17" i="3"/>
  <c r="CS32" i="3"/>
  <c r="U56" i="3"/>
  <c r="CS42" i="3"/>
  <c r="T78" i="3"/>
  <c r="CS45" i="3"/>
  <c r="T79" i="3"/>
  <c r="CS20" i="3"/>
  <c r="U30" i="3"/>
  <c r="CS51" i="3"/>
  <c r="U92" i="3"/>
  <c r="CS40" i="3"/>
  <c r="U70" i="3"/>
  <c r="CS31" i="3"/>
  <c r="U55" i="3"/>
  <c r="CS37" i="3"/>
  <c r="T63" i="3"/>
  <c r="CS41" i="3"/>
  <c r="T71" i="3"/>
  <c r="CS23" i="3"/>
  <c r="T40" i="3"/>
  <c r="CS9" i="3"/>
  <c r="U5" i="3"/>
  <c r="CS8" i="3"/>
  <c r="U9" i="3"/>
  <c r="CS17" i="3"/>
  <c r="T22" i="3"/>
  <c r="CS44" i="3"/>
  <c r="U80" i="3"/>
  <c r="CS38" i="3"/>
  <c r="T70" i="3"/>
  <c r="CS33" i="3"/>
  <c r="U53" i="3"/>
  <c r="CS27" i="3"/>
  <c r="U47" i="3"/>
  <c r="CS43" i="3"/>
  <c r="T80" i="3"/>
  <c r="CS6" i="3"/>
  <c r="U8" i="3"/>
  <c r="CS18" i="3"/>
  <c r="T30" i="3"/>
  <c r="CS21" i="3"/>
  <c r="T31" i="3"/>
  <c r="CS19" i="3"/>
  <c r="U31" i="3"/>
  <c r="CS26" i="3"/>
  <c r="T46" i="3"/>
  <c r="CS52" i="3"/>
  <c r="T93" i="3"/>
  <c r="CS28" i="3"/>
  <c r="U48" i="3"/>
  <c r="CS15" i="3"/>
  <c r="U22" i="3"/>
  <c r="CS34" i="3"/>
  <c r="U65" i="3"/>
  <c r="CS12" i="3"/>
  <c r="T13" i="3"/>
  <c r="CS50" i="3"/>
  <c r="T92" i="3"/>
  <c r="CS53" i="3"/>
  <c r="T95" i="3"/>
  <c r="CS14" i="3"/>
  <c r="U24" i="3"/>
  <c r="CS7" i="3"/>
  <c r="U4" i="3"/>
  <c r="CS29" i="3"/>
  <c r="U45" i="3"/>
  <c r="U38" i="3"/>
  <c r="T37" i="3"/>
  <c r="U57" i="3"/>
  <c r="T41" i="3"/>
  <c r="T54" i="3"/>
  <c r="U37" i="3"/>
  <c r="CT24" i="3"/>
  <c r="U33" i="3"/>
  <c r="U25" i="3"/>
  <c r="T21" i="3"/>
  <c r="U32" i="3"/>
  <c r="T84" i="3"/>
  <c r="T86" i="3"/>
  <c r="T29" i="3"/>
  <c r="T12" i="3"/>
  <c r="T61" i="3"/>
  <c r="CT37" i="3"/>
  <c r="T6" i="3"/>
  <c r="U64" i="3"/>
  <c r="U68" i="3"/>
  <c r="U7" i="3"/>
  <c r="T28" i="3"/>
  <c r="T8" i="3"/>
  <c r="U77" i="3"/>
  <c r="CT44" i="3"/>
  <c r="T36" i="3"/>
  <c r="CT23" i="3"/>
  <c r="U41" i="3"/>
  <c r="T69" i="3"/>
  <c r="U73" i="3"/>
  <c r="U15" i="3"/>
  <c r="T77" i="3"/>
  <c r="T81" i="3"/>
  <c r="U16" i="3"/>
  <c r="T24" i="3"/>
  <c r="T73" i="3"/>
  <c r="U95" i="3"/>
  <c r="T85" i="3"/>
  <c r="U86" i="3"/>
  <c r="T97" i="3"/>
  <c r="T32" i="3"/>
  <c r="CT17" i="3"/>
  <c r="U81" i="3"/>
  <c r="U78" i="3"/>
  <c r="T89" i="3"/>
  <c r="U87" i="3"/>
  <c r="T87" i="3"/>
  <c r="CT47" i="3"/>
  <c r="T88" i="3"/>
  <c r="T56" i="3"/>
  <c r="CT32" i="3"/>
  <c r="T53" i="3"/>
  <c r="CT33" i="3"/>
  <c r="U13" i="3"/>
  <c r="CT12" i="3"/>
  <c r="U49" i="3"/>
  <c r="T16" i="3"/>
  <c r="U52" i="3"/>
  <c r="T64" i="3"/>
  <c r="U14" i="3"/>
  <c r="U60" i="3"/>
  <c r="CT34" i="3"/>
  <c r="U54" i="3"/>
  <c r="T76" i="3"/>
  <c r="CT43" i="3"/>
  <c r="U12" i="3"/>
  <c r="T94" i="3"/>
  <c r="U28" i="3"/>
  <c r="T68" i="3"/>
  <c r="U21" i="3"/>
  <c r="U93" i="3"/>
  <c r="T33" i="3"/>
  <c r="U29" i="3"/>
  <c r="T20" i="3"/>
  <c r="CT15" i="3"/>
  <c r="T96" i="3"/>
  <c r="U72" i="3"/>
  <c r="U96" i="3"/>
  <c r="CT53" i="3"/>
  <c r="T44" i="3"/>
  <c r="T5" i="3"/>
  <c r="U39" i="3"/>
  <c r="CT25" i="3"/>
  <c r="T72" i="3"/>
  <c r="T57" i="3"/>
  <c r="U94" i="3"/>
  <c r="CT50" i="3"/>
  <c r="U36" i="3"/>
  <c r="CT22" i="3"/>
  <c r="T65" i="3"/>
  <c r="U61" i="3"/>
  <c r="U17" i="3"/>
  <c r="T23" i="3"/>
  <c r="U69" i="3"/>
  <c r="CT40" i="3"/>
  <c r="T55" i="3"/>
  <c r="CT31" i="3"/>
  <c r="U97" i="3"/>
  <c r="CT51" i="3"/>
  <c r="U6" i="3"/>
  <c r="T25" i="3"/>
  <c r="U79" i="3"/>
  <c r="T60" i="3"/>
  <c r="CT35" i="3"/>
  <c r="T4" i="3"/>
  <c r="T62" i="3"/>
  <c r="T7" i="3"/>
  <c r="U20" i="3"/>
  <c r="T48" i="3"/>
  <c r="CT28" i="3"/>
  <c r="U44" i="3"/>
  <c r="U76" i="3"/>
  <c r="U46" i="3"/>
  <c r="T45" i="3"/>
  <c r="T47" i="3"/>
  <c r="T9" i="3"/>
  <c r="T49" i="3"/>
  <c r="CT49" i="3"/>
  <c r="CT38" i="3"/>
  <c r="CT19" i="3"/>
  <c r="CT7" i="3"/>
  <c r="CT11" i="3"/>
  <c r="CT21" i="3"/>
  <c r="CT48" i="3"/>
  <c r="CT6" i="3"/>
  <c r="CT14" i="3"/>
  <c r="CT46" i="3"/>
  <c r="CT42" i="3"/>
  <c r="CT45" i="3"/>
  <c r="CT20" i="3"/>
  <c r="CT30" i="3"/>
  <c r="CT26" i="3"/>
  <c r="CT18" i="3"/>
  <c r="CT16" i="3"/>
  <c r="CT13" i="3"/>
  <c r="CT27" i="3"/>
  <c r="CT41" i="3"/>
  <c r="CT39" i="3"/>
  <c r="CT10" i="3"/>
  <c r="CT52" i="3"/>
  <c r="CT29" i="3"/>
  <c r="CT9" i="3"/>
  <c r="CT36" i="3"/>
  <c r="CT8" i="3"/>
  <c r="CU53" i="3"/>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c r="CW41" i="3"/>
  <c r="CV42" i="3"/>
  <c r="CW42" i="3"/>
  <c r="CV36" i="3"/>
  <c r="CW36" i="3"/>
  <c r="CV28" i="3"/>
  <c r="CW28" i="3"/>
  <c r="CV8" i="3"/>
  <c r="CW8" i="3"/>
  <c r="CV25" i="3"/>
  <c r="CW25" i="3"/>
  <c r="CV10" i="3"/>
  <c r="CW10" i="3"/>
  <c r="CV51" i="3"/>
  <c r="CW51" i="3"/>
  <c r="CV45" i="3"/>
  <c r="CW45" i="3"/>
  <c r="CV49" i="3"/>
  <c r="CW49" i="3"/>
  <c r="CV35" i="3"/>
  <c r="CW35" i="3"/>
  <c r="CV18" i="3"/>
  <c r="CW18" i="3"/>
  <c r="CV13" i="3"/>
  <c r="CW13" i="3"/>
  <c r="CV47" i="3"/>
  <c r="CW47" i="3"/>
  <c r="CV48" i="3"/>
  <c r="CW48" i="3"/>
  <c r="CV19" i="3"/>
  <c r="CW19" i="3"/>
  <c r="CV30" i="3"/>
  <c r="CW30" i="3"/>
  <c r="CV24" i="3"/>
  <c r="CW24" i="3"/>
  <c r="CV16" i="3"/>
  <c r="CW16" i="3"/>
  <c r="CV33" i="3"/>
  <c r="CW33" i="3"/>
  <c r="CV9" i="3"/>
  <c r="CW9" i="3"/>
  <c r="CV7" i="3"/>
  <c r="CW7" i="3"/>
  <c r="CV12" i="3"/>
  <c r="CW12" i="3"/>
  <c r="CV44" i="3"/>
  <c r="CW44" i="3"/>
  <c r="CV29" i="3"/>
  <c r="CW29" i="3"/>
  <c r="CV20" i="3"/>
  <c r="CW20" i="3"/>
  <c r="CV37" i="3"/>
  <c r="CW37" i="3"/>
  <c r="CV39" i="3"/>
  <c r="CW39" i="3"/>
  <c r="CV46" i="3"/>
  <c r="CW46" i="3"/>
  <c r="CV52" i="3"/>
  <c r="CW52" i="3"/>
  <c r="CV15" i="3"/>
  <c r="CW15" i="3"/>
  <c r="CV6" i="3"/>
  <c r="CW6" i="3"/>
  <c r="CV53" i="3"/>
  <c r="CW53" i="3"/>
  <c r="CV11" i="3"/>
  <c r="CW11" i="3"/>
  <c r="CV32" i="3"/>
  <c r="CW32" i="3"/>
  <c r="CV43" i="3"/>
  <c r="CW43" i="3"/>
  <c r="CV26" i="3"/>
  <c r="CW26" i="3"/>
  <c r="CV22" i="3"/>
  <c r="CW22" i="3"/>
  <c r="CV40" i="3"/>
  <c r="CW40" i="3"/>
  <c r="CV50" i="3"/>
  <c r="CW50" i="3"/>
  <c r="CV38" i="3"/>
  <c r="CW38" i="3"/>
  <c r="CV34" i="3"/>
  <c r="CW34" i="3"/>
  <c r="CV31" i="3"/>
  <c r="CW31" i="3"/>
  <c r="CV27" i="3"/>
  <c r="CW27" i="3"/>
  <c r="CV17" i="3"/>
  <c r="CW17" i="3"/>
  <c r="CV21" i="3"/>
  <c r="CW21" i="3"/>
  <c r="CV23" i="3"/>
  <c r="CW23" i="3"/>
  <c r="CV14" i="3"/>
  <c r="CW14" i="3"/>
  <c r="CX44" i="3"/>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c r="CZ52" i="3"/>
  <c r="CY53" i="3"/>
  <c r="CZ53" i="3"/>
  <c r="CY18" i="3"/>
  <c r="CZ18" i="3"/>
  <c r="CY48" i="3"/>
  <c r="CZ48" i="3"/>
  <c r="CY35" i="3"/>
  <c r="CZ35" i="3"/>
  <c r="CY9" i="3"/>
  <c r="CZ9" i="3"/>
  <c r="CY13" i="3"/>
  <c r="CZ13" i="3"/>
  <c r="CY21" i="3"/>
  <c r="CZ21" i="3"/>
  <c r="CY17" i="3"/>
  <c r="CZ17" i="3"/>
  <c r="CY38" i="3"/>
  <c r="CZ38" i="3"/>
  <c r="CY44" i="3"/>
  <c r="CZ44" i="3"/>
  <c r="CY11" i="3"/>
  <c r="CZ11" i="3"/>
  <c r="CY49" i="3"/>
  <c r="CZ49" i="3"/>
  <c r="CY23" i="3"/>
  <c r="CZ23" i="3"/>
  <c r="CY45" i="3"/>
  <c r="CZ45" i="3"/>
  <c r="CY34" i="3"/>
  <c r="CZ34" i="3"/>
  <c r="CY10" i="3"/>
  <c r="CZ10" i="3"/>
  <c r="CY50" i="3"/>
  <c r="CZ50" i="3"/>
  <c r="CY6" i="3"/>
  <c r="CZ6" i="3"/>
  <c r="CY39" i="3"/>
  <c r="CZ39" i="3"/>
  <c r="CY16" i="3"/>
  <c r="CZ16" i="3"/>
  <c r="CY32" i="3"/>
  <c r="CZ32" i="3"/>
  <c r="CY25" i="3"/>
  <c r="CZ25" i="3"/>
  <c r="CY36" i="3"/>
  <c r="CZ36" i="3"/>
  <c r="CY31" i="3"/>
  <c r="CZ31" i="3"/>
  <c r="CY24" i="3"/>
  <c r="CZ24" i="3"/>
  <c r="CY33" i="3"/>
  <c r="CZ33" i="3"/>
  <c r="CY19" i="3"/>
  <c r="CZ19" i="3"/>
  <c r="CY22" i="3"/>
  <c r="CZ22" i="3"/>
  <c r="CY46" i="3"/>
  <c r="CZ46" i="3"/>
  <c r="CY20" i="3"/>
  <c r="CZ20" i="3"/>
  <c r="CY29" i="3"/>
  <c r="CZ29" i="3"/>
  <c r="CY40" i="3"/>
  <c r="CZ40" i="3"/>
  <c r="CY12" i="3"/>
  <c r="CZ12" i="3"/>
  <c r="CY47" i="3"/>
  <c r="CZ47" i="3"/>
  <c r="CY42" i="3"/>
  <c r="CZ42" i="3"/>
  <c r="CY28" i="3"/>
  <c r="CZ28" i="3"/>
  <c r="CY37" i="3"/>
  <c r="CZ37" i="3"/>
  <c r="CY8" i="3"/>
  <c r="CZ8" i="3"/>
  <c r="CY7" i="3"/>
  <c r="CZ7" i="3"/>
  <c r="CY26" i="3"/>
  <c r="CZ26" i="3"/>
  <c r="CY41" i="3"/>
  <c r="CZ41" i="3"/>
  <c r="CY51" i="3"/>
  <c r="CZ51" i="3"/>
  <c r="CY30" i="3"/>
  <c r="CZ30" i="3"/>
  <c r="CY43" i="3"/>
  <c r="CZ43" i="3"/>
  <c r="CY27" i="3"/>
  <c r="CZ27" i="3"/>
  <c r="CY15" i="3"/>
  <c r="CZ15" i="3"/>
  <c r="CY14" i="3"/>
  <c r="CZ14" i="3"/>
  <c r="DA35" i="3"/>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c r="DC44" i="3"/>
  <c r="DB24" i="3"/>
  <c r="DC24" i="3"/>
  <c r="DB33" i="3"/>
  <c r="DC33" i="3"/>
  <c r="DB38" i="3"/>
  <c r="DC38" i="3"/>
  <c r="DB37" i="3"/>
  <c r="DC37" i="3"/>
  <c r="DB53" i="3"/>
  <c r="DC53" i="3"/>
  <c r="DB30" i="3"/>
  <c r="DC30" i="3"/>
  <c r="DB23" i="3"/>
  <c r="DC23" i="3"/>
  <c r="DB50" i="3"/>
  <c r="DC50" i="3"/>
  <c r="DB45" i="3"/>
  <c r="DC45" i="3"/>
  <c r="DB29" i="3"/>
  <c r="DC29" i="3"/>
  <c r="DB22" i="3"/>
  <c r="DC22" i="3"/>
  <c r="DB8" i="3"/>
  <c r="DC8" i="3"/>
  <c r="DB42" i="3"/>
  <c r="DC42" i="3"/>
  <c r="DB27" i="3"/>
  <c r="DC27" i="3"/>
  <c r="DB49" i="3"/>
  <c r="DC49" i="3"/>
  <c r="DB40" i="3"/>
  <c r="DC40" i="3"/>
  <c r="DB41" i="3"/>
  <c r="DC41" i="3"/>
  <c r="DB51" i="3"/>
  <c r="DC51" i="3"/>
  <c r="DB19" i="3"/>
  <c r="DC19" i="3"/>
  <c r="DB52" i="3"/>
  <c r="DC52" i="3"/>
  <c r="DB32" i="3"/>
  <c r="DC32" i="3"/>
  <c r="DB48" i="3"/>
  <c r="DC48" i="3"/>
  <c r="DB12" i="3"/>
  <c r="DC12" i="3"/>
  <c r="DB31" i="3"/>
  <c r="DC31" i="3"/>
  <c r="DB9" i="3"/>
  <c r="DC9" i="3"/>
  <c r="DB43" i="3"/>
  <c r="DC43" i="3"/>
  <c r="DB46" i="3"/>
  <c r="DC46" i="3"/>
  <c r="DB17" i="3"/>
  <c r="DC17" i="3"/>
  <c r="DB35" i="3"/>
  <c r="DC35" i="3"/>
  <c r="DB28" i="3"/>
  <c r="DC28" i="3"/>
  <c r="DB25" i="3"/>
  <c r="DC25" i="3"/>
  <c r="DB21" i="3"/>
  <c r="DC21" i="3"/>
  <c r="DB16" i="3"/>
  <c r="DC16" i="3"/>
  <c r="DB10" i="3"/>
  <c r="DC10" i="3"/>
  <c r="DB26" i="3"/>
  <c r="DC26" i="3"/>
  <c r="DB20" i="3"/>
  <c r="DC20" i="3"/>
  <c r="DB15" i="3"/>
  <c r="DC15" i="3"/>
  <c r="DB34" i="3"/>
  <c r="DC34" i="3"/>
  <c r="DB14" i="3"/>
  <c r="DC14" i="3"/>
  <c r="DB47" i="3"/>
  <c r="DC47" i="3"/>
  <c r="DB7" i="3"/>
  <c r="DC7" i="3"/>
  <c r="DB11" i="3"/>
  <c r="DC11" i="3"/>
  <c r="DB18" i="3"/>
  <c r="DC18" i="3"/>
  <c r="DB13" i="3"/>
  <c r="DC13" i="3"/>
  <c r="DB6" i="3"/>
  <c r="DC6" i="3"/>
  <c r="DB36" i="3"/>
  <c r="DC36" i="3"/>
  <c r="DB39" i="3"/>
  <c r="DC39" i="3"/>
  <c r="DD35" i="3"/>
  <c r="BM35" i="3"/>
  <c r="DD32" i="3"/>
  <c r="BM32" i="3"/>
  <c r="DD47" i="3"/>
  <c r="BM47" i="3"/>
  <c r="DD31" i="3"/>
  <c r="BM31" i="3"/>
  <c r="DD51" i="3"/>
  <c r="BM51" i="3"/>
  <c r="DD24" i="3"/>
  <c r="BM24" i="3"/>
  <c r="DD42" i="3"/>
  <c r="BM42" i="3"/>
  <c r="DD53" i="3"/>
  <c r="BM53" i="3"/>
  <c r="DD28" i="3"/>
  <c r="BM28" i="3"/>
  <c r="DD43" i="3"/>
  <c r="BM43" i="3"/>
  <c r="DD40" i="3"/>
  <c r="BM40" i="3"/>
  <c r="DD13" i="3"/>
  <c r="BM13" i="3"/>
  <c r="DD6" i="3"/>
  <c r="BM6" i="3"/>
  <c r="DD15" i="3"/>
  <c r="BM15" i="3"/>
  <c r="DD18" i="3"/>
  <c r="BM18" i="3"/>
  <c r="DD12" i="3"/>
  <c r="BM12" i="3"/>
  <c r="DD17" i="3"/>
  <c r="BM17" i="3"/>
  <c r="DD41" i="3"/>
  <c r="BM41" i="3"/>
  <c r="DD27" i="3"/>
  <c r="BM27" i="3"/>
  <c r="DD30" i="3"/>
  <c r="BM30" i="3"/>
  <c r="DD39" i="3"/>
  <c r="BM39" i="3"/>
  <c r="DD20" i="3"/>
  <c r="BM20" i="3"/>
  <c r="DD34" i="3"/>
  <c r="BM34" i="3"/>
  <c r="DD9" i="3"/>
  <c r="BM9" i="3"/>
  <c r="DD37" i="3"/>
  <c r="BM37" i="3"/>
  <c r="DD19" i="3"/>
  <c r="BM19" i="3"/>
  <c r="DD14" i="3"/>
  <c r="BM14" i="3"/>
  <c r="DD11" i="3"/>
  <c r="BM11" i="3"/>
  <c r="DD29" i="3"/>
  <c r="BM29" i="3"/>
  <c r="DD38" i="3"/>
  <c r="BM38" i="3"/>
  <c r="DD21" i="3"/>
  <c r="BM21" i="3"/>
  <c r="DD8" i="3"/>
  <c r="BM8" i="3"/>
  <c r="DD23" i="3"/>
  <c r="BM23" i="3"/>
  <c r="DD25" i="3"/>
  <c r="BM25" i="3"/>
  <c r="DD26" i="3"/>
  <c r="BM26" i="3"/>
  <c r="DD52" i="3"/>
  <c r="BM52" i="3"/>
  <c r="DD46" i="3"/>
  <c r="BM46" i="3"/>
  <c r="DD49" i="3"/>
  <c r="BM49" i="3"/>
  <c r="DD36" i="3"/>
  <c r="BM36" i="3"/>
  <c r="DD48" i="3"/>
  <c r="BM48" i="3"/>
  <c r="DD16" i="3"/>
  <c r="BM16" i="3"/>
  <c r="DD45" i="3"/>
  <c r="BM45" i="3"/>
  <c r="DD7" i="3"/>
  <c r="BM7" i="3"/>
  <c r="DD22" i="3"/>
  <c r="BM22" i="3"/>
  <c r="DD10" i="3"/>
  <c r="BM10" i="3"/>
  <c r="DD50" i="3"/>
  <c r="BM50" i="3"/>
  <c r="DD33" i="3"/>
  <c r="BM33" i="3"/>
  <c r="DD44" i="3"/>
  <c r="BM44" i="3"/>
  <c r="DQ7" i="3"/>
  <c r="DJ7" i="3"/>
  <c r="DQ8" i="3"/>
  <c r="DJ8" i="3"/>
  <c r="AV80" i="3"/>
  <c r="DQ17" i="3"/>
  <c r="DJ17" i="3"/>
  <c r="AV25" i="3"/>
  <c r="AV24" i="3"/>
  <c r="AV14" i="3"/>
  <c r="DQ6" i="3"/>
  <c r="DJ6" i="3"/>
  <c r="AV78" i="3"/>
  <c r="DQ18" i="3"/>
  <c r="DJ18" i="3"/>
  <c r="AV46" i="3"/>
  <c r="AV22" i="3"/>
  <c r="AV89" i="3"/>
  <c r="AV49" i="3"/>
  <c r="DQ12" i="3"/>
  <c r="DJ12" i="3"/>
  <c r="DQ9" i="3"/>
  <c r="DJ9" i="3"/>
  <c r="DQ33" i="3"/>
  <c r="DJ33" i="3"/>
  <c r="AV54" i="3"/>
  <c r="DQ27" i="3"/>
  <c r="DJ27" i="3"/>
  <c r="DQ19" i="3"/>
  <c r="DJ19" i="3"/>
  <c r="AV57" i="3"/>
  <c r="DQ14" i="3"/>
  <c r="DJ14" i="3"/>
  <c r="AV62" i="3"/>
  <c r="AV40" i="3"/>
  <c r="AV95" i="3"/>
  <c r="AV15" i="3"/>
  <c r="DQ53" i="3"/>
  <c r="DJ53" i="3"/>
  <c r="AV70" i="3"/>
  <c r="DQ16" i="3"/>
  <c r="DJ16" i="3"/>
  <c r="DQ11" i="3"/>
  <c r="DJ11" i="3"/>
  <c r="DQ35" i="3"/>
  <c r="DJ35" i="3"/>
  <c r="AV88" i="3"/>
  <c r="DQ32" i="3"/>
  <c r="DJ32" i="3"/>
  <c r="AV56" i="3"/>
  <c r="DQ48" i="3"/>
  <c r="DJ48" i="3"/>
  <c r="AV17" i="3"/>
  <c r="DQ50" i="3"/>
  <c r="DJ50" i="3"/>
  <c r="AV79" i="3"/>
  <c r="DQ45" i="3"/>
  <c r="DJ45" i="3"/>
  <c r="AV87" i="3"/>
  <c r="AV47" i="3"/>
  <c r="DQ30" i="3"/>
  <c r="DJ30" i="3"/>
  <c r="AV32" i="3"/>
  <c r="DQ41" i="3"/>
  <c r="DJ41" i="3"/>
  <c r="AV65" i="3"/>
  <c r="AV72" i="3"/>
  <c r="DQ15" i="3"/>
  <c r="DJ15" i="3"/>
  <c r="DQ28" i="3"/>
  <c r="DJ28" i="3"/>
  <c r="DQ49" i="3"/>
  <c r="DJ49" i="3"/>
  <c r="AV86" i="3"/>
  <c r="DQ22" i="3"/>
  <c r="DJ22" i="3"/>
  <c r="DQ40" i="3"/>
  <c r="DJ40" i="3"/>
  <c r="DQ47" i="3"/>
  <c r="DJ47" i="3"/>
  <c r="DQ25" i="3"/>
  <c r="DJ25" i="3"/>
  <c r="DQ26" i="3"/>
  <c r="DJ26" i="3"/>
  <c r="DQ21" i="3"/>
  <c r="DJ21" i="3"/>
  <c r="DQ20" i="3"/>
  <c r="DJ20" i="3"/>
  <c r="DQ38" i="3"/>
  <c r="DJ38" i="3"/>
  <c r="AV38" i="3"/>
  <c r="AV71" i="3"/>
  <c r="AV41" i="3"/>
  <c r="DQ44" i="3"/>
  <c r="DJ44" i="3"/>
  <c r="DQ23" i="3"/>
  <c r="DJ23" i="3"/>
  <c r="AV64" i="3"/>
  <c r="DQ36" i="3"/>
  <c r="DJ36" i="3"/>
  <c r="AV8" i="3"/>
  <c r="DQ31" i="3"/>
  <c r="DJ31" i="3"/>
  <c r="DQ39" i="3"/>
  <c r="DJ39" i="3"/>
  <c r="DQ43" i="3"/>
  <c r="DJ43" i="3"/>
  <c r="AV55" i="3"/>
  <c r="AV33" i="3"/>
  <c r="AV16" i="3"/>
  <c r="DQ37" i="3"/>
  <c r="DJ37" i="3"/>
  <c r="AV39" i="3"/>
  <c r="AV31" i="3"/>
  <c r="AV9" i="3"/>
  <c r="AV30" i="3"/>
  <c r="DQ34" i="3"/>
  <c r="DJ34" i="3"/>
  <c r="DQ24" i="3"/>
  <c r="DJ24" i="3"/>
  <c r="DQ29" i="3"/>
  <c r="DJ29" i="3"/>
  <c r="AV48" i="3"/>
  <c r="AV6" i="3"/>
  <c r="AV97" i="3"/>
  <c r="DQ46" i="3"/>
  <c r="DJ46" i="3"/>
  <c r="AV96" i="3"/>
  <c r="AV63" i="3"/>
  <c r="AV81" i="3"/>
  <c r="DQ10" i="3"/>
  <c r="DJ10" i="3"/>
  <c r="DQ52" i="3"/>
  <c r="DJ52" i="3"/>
  <c r="AV7" i="3"/>
  <c r="DQ51" i="3"/>
  <c r="DJ51" i="3"/>
  <c r="AV73" i="3"/>
  <c r="AV23" i="3"/>
  <c r="DQ42" i="3"/>
  <c r="DJ42" i="3"/>
  <c r="AV94" i="3"/>
  <c r="DQ13" i="3"/>
  <c r="DJ13" i="3"/>
  <c r="DL33" i="3"/>
  <c r="AU57" i="3"/>
  <c r="DL31" i="3"/>
  <c r="AU55" i="3"/>
  <c r="DL32" i="3"/>
  <c r="AU56" i="3"/>
  <c r="DL30" i="3"/>
  <c r="AU54" i="3"/>
  <c r="DL25" i="3"/>
  <c r="AU41" i="3"/>
  <c r="DL11" i="3"/>
  <c r="DM11" i="3"/>
  <c r="DL52" i="3"/>
  <c r="AU96" i="3"/>
  <c r="DL37" i="3"/>
  <c r="AU65" i="3"/>
  <c r="DL49" i="3"/>
  <c r="AU89" i="3"/>
  <c r="DF8" i="3"/>
  <c r="DF7" i="3"/>
  <c r="DL27" i="3"/>
  <c r="AU47" i="3"/>
  <c r="DL13" i="3"/>
  <c r="AU17" i="3"/>
  <c r="DL10" i="3"/>
  <c r="AU14" i="3"/>
  <c r="DL14" i="3"/>
  <c r="DM14" i="3"/>
  <c r="DL46" i="3"/>
  <c r="AU86" i="3"/>
  <c r="DL18" i="3"/>
  <c r="AU30" i="3"/>
  <c r="DL43" i="3"/>
  <c r="AU79" i="3"/>
  <c r="DL9" i="3"/>
  <c r="AU9" i="3"/>
  <c r="DL50" i="3"/>
  <c r="DN50" i="3" a="1"/>
  <c r="DN50" i="3"/>
  <c r="DL8" i="3"/>
  <c r="AU8" i="3"/>
  <c r="DL6" i="3"/>
  <c r="AU6" i="3"/>
  <c r="DL45" i="3"/>
  <c r="DN45" i="3" a="1"/>
  <c r="DN45" i="3"/>
  <c r="DL16" i="3"/>
  <c r="AU24" i="3"/>
  <c r="DL22" i="3"/>
  <c r="AU38" i="3"/>
  <c r="DL48" i="3"/>
  <c r="AU88" i="3"/>
  <c r="DL47" i="3"/>
  <c r="AU87" i="3"/>
  <c r="DL7" i="3"/>
  <c r="DN7" i="3" a="1"/>
  <c r="DN7" i="3"/>
  <c r="DL40" i="3"/>
  <c r="AU72" i="3"/>
  <c r="DL21" i="3"/>
  <c r="AU33" i="3"/>
  <c r="DL51" i="3"/>
  <c r="AU95" i="3"/>
  <c r="DL28" i="3"/>
  <c r="AU48" i="3"/>
  <c r="DL15" i="3"/>
  <c r="AU23" i="3"/>
  <c r="DL53" i="3"/>
  <c r="AU97" i="3"/>
  <c r="DL12" i="3"/>
  <c r="AU16" i="3"/>
  <c r="DL20" i="3"/>
  <c r="DN20" i="3" a="1"/>
  <c r="DN20" i="3"/>
  <c r="DL41" i="3"/>
  <c r="DL36" i="3"/>
  <c r="AU64" i="3"/>
  <c r="DL19" i="3"/>
  <c r="AU31" i="3"/>
  <c r="DL26" i="3"/>
  <c r="DL35" i="3"/>
  <c r="AU63" i="3"/>
  <c r="DL29" i="3"/>
  <c r="DN29" i="3" a="1"/>
  <c r="DN29" i="3"/>
  <c r="DL24" i="3"/>
  <c r="AU40" i="3"/>
  <c r="DL23" i="3"/>
  <c r="AU39" i="3"/>
  <c r="DL42" i="3"/>
  <c r="AU78" i="3"/>
  <c r="DL34" i="3"/>
  <c r="AU62" i="3"/>
  <c r="DL44" i="3"/>
  <c r="AU80" i="3"/>
  <c r="DL39" i="3"/>
  <c r="AU71" i="3"/>
  <c r="DL38" i="3"/>
  <c r="AU70" i="3"/>
  <c r="DL17" i="3"/>
  <c r="AU25" i="3"/>
  <c r="DM33" i="3"/>
  <c r="DN31" i="3" a="1"/>
  <c r="DN31" i="3"/>
  <c r="DN33" i="3" a="1"/>
  <c r="DN33" i="3"/>
  <c r="DN49" i="3" a="1"/>
  <c r="DN49" i="3"/>
  <c r="DN32" i="3" a="1"/>
  <c r="DN32" i="3"/>
  <c r="DM25" i="3"/>
  <c r="DN30" i="3" a="1"/>
  <c r="DN30" i="3"/>
  <c r="DM32" i="3"/>
  <c r="DM31" i="3"/>
  <c r="DM30" i="3"/>
  <c r="DN25" i="3" a="1"/>
  <c r="DN25" i="3"/>
  <c r="DM13" i="3"/>
  <c r="DM52" i="3"/>
  <c r="DM51" i="3"/>
  <c r="DN52" i="3" a="1"/>
  <c r="DN52" i="3"/>
  <c r="DM10" i="3"/>
  <c r="DN11" i="3" a="1"/>
  <c r="DN11" i="3"/>
  <c r="DM40" i="3"/>
  <c r="AU15" i="3"/>
  <c r="AU13" i="3"/>
  <c r="AV12" i="3"/>
  <c r="DM37" i="3"/>
  <c r="DN19" i="3" a="1"/>
  <c r="DN19" i="3"/>
  <c r="DM34" i="3"/>
  <c r="DN37" i="3" a="1"/>
  <c r="DN37" i="3"/>
  <c r="DN34" i="3" a="1"/>
  <c r="DN34" i="3"/>
  <c r="DN46" i="3" a="1"/>
  <c r="DN46" i="3"/>
  <c r="DN51" i="3" a="1"/>
  <c r="DN51" i="3"/>
  <c r="DN28" i="3" a="1"/>
  <c r="DN28" i="3"/>
  <c r="DM19" i="3"/>
  <c r="DN43" i="3" a="1"/>
  <c r="DN43" i="3"/>
  <c r="DN27" i="3" a="1"/>
  <c r="DN27" i="3"/>
  <c r="DM35" i="3"/>
  <c r="DN18" i="3" a="1"/>
  <c r="DN18" i="3"/>
  <c r="DM46" i="3"/>
  <c r="DN16" i="3" a="1"/>
  <c r="DN16" i="3"/>
  <c r="DM53" i="3"/>
  <c r="DM49" i="3"/>
  <c r="DM22" i="3"/>
  <c r="DN17" i="3" a="1"/>
  <c r="DN17" i="3"/>
  <c r="DM16" i="3"/>
  <c r="DM28" i="3"/>
  <c r="DM15" i="3"/>
  <c r="AU85" i="3"/>
  <c r="AV84" i="3"/>
  <c r="DM17" i="3"/>
  <c r="DN42" i="3" a="1"/>
  <c r="DN42" i="3"/>
  <c r="AU61" i="3"/>
  <c r="AV60" i="3"/>
  <c r="DM36" i="3"/>
  <c r="DM42" i="3"/>
  <c r="DM20" i="3"/>
  <c r="AU37" i="3"/>
  <c r="AV36" i="3"/>
  <c r="DM6" i="3"/>
  <c r="DN6" i="3" a="1"/>
  <c r="DN6" i="3"/>
  <c r="DN8" i="3" a="1"/>
  <c r="DN8" i="3"/>
  <c r="DN38" i="3" a="1"/>
  <c r="DN38" i="3"/>
  <c r="DN36" i="3" a="1"/>
  <c r="DN36" i="3"/>
  <c r="DN40" i="3" a="1"/>
  <c r="DN40" i="3"/>
  <c r="DM24" i="3"/>
  <c r="DN47" i="3" a="1"/>
  <c r="DN47" i="3"/>
  <c r="DM27" i="3"/>
  <c r="DM21" i="3"/>
  <c r="DN13" i="3" a="1"/>
  <c r="DN13" i="3"/>
  <c r="DM8" i="3"/>
  <c r="DN21" i="3" a="1"/>
  <c r="DN21" i="3"/>
  <c r="DM38" i="3"/>
  <c r="DN10" i="3" a="1"/>
  <c r="DN10" i="3"/>
  <c r="DN39" i="3" a="1"/>
  <c r="DN39" i="3"/>
  <c r="DM44" i="3"/>
  <c r="DM23" i="3"/>
  <c r="DN22" i="3" a="1"/>
  <c r="DN22" i="3"/>
  <c r="DM29" i="3"/>
  <c r="AU46" i="3"/>
  <c r="DN26" i="3" a="1"/>
  <c r="DN26" i="3"/>
  <c r="DM26" i="3"/>
  <c r="DN24" i="3" a="1"/>
  <c r="DN24" i="3"/>
  <c r="DM48" i="3"/>
  <c r="AU49" i="3"/>
  <c r="DM50" i="3"/>
  <c r="AU81" i="3"/>
  <c r="AU77" i="3"/>
  <c r="AV76" i="3"/>
  <c r="DM45" i="3"/>
  <c r="AU22" i="3"/>
  <c r="AU21" i="3"/>
  <c r="AV20" i="3"/>
  <c r="DN14" i="3" a="1"/>
  <c r="DN14" i="3"/>
  <c r="AU32" i="3"/>
  <c r="AU29" i="3"/>
  <c r="AV28" i="3"/>
  <c r="DN44" i="3" a="1"/>
  <c r="DN44" i="3"/>
  <c r="DN35" i="3" a="1"/>
  <c r="DN35" i="3"/>
  <c r="DN48" i="3" a="1"/>
  <c r="DN48" i="3"/>
  <c r="AU94" i="3"/>
  <c r="AU93" i="3"/>
  <c r="AV92" i="3"/>
  <c r="DM43" i="3"/>
  <c r="DM9" i="3"/>
  <c r="DM47" i="3"/>
  <c r="DN12" i="3" a="1"/>
  <c r="DN12" i="3"/>
  <c r="DM7" i="3"/>
  <c r="DN9" i="3" a="1"/>
  <c r="DN9" i="3"/>
  <c r="DM12" i="3"/>
  <c r="DN53" i="3" a="1"/>
  <c r="DN53" i="3"/>
  <c r="DM39" i="3"/>
  <c r="AU7" i="3"/>
  <c r="AU5" i="3"/>
  <c r="AV4" i="3"/>
  <c r="DM18" i="3"/>
  <c r="DN15" i="3" a="1"/>
  <c r="DN15" i="3"/>
  <c r="DN23" i="3" a="1"/>
  <c r="DN23" i="3"/>
  <c r="AU73" i="3"/>
  <c r="AU69" i="3"/>
  <c r="AV68" i="3"/>
  <c r="DM41" i="3"/>
  <c r="DN41" i="3" a="1"/>
  <c r="DN41" i="3"/>
  <c r="AU53" i="3"/>
  <c r="AV52" i="3"/>
  <c r="DF10" i="3"/>
  <c r="DF16" i="3"/>
  <c r="DF12" i="3"/>
  <c r="DF24" i="3"/>
  <c r="DF21" i="3"/>
  <c r="DF9" i="3"/>
  <c r="DF23" i="3"/>
  <c r="DF19" i="3"/>
  <c r="DF25" i="3"/>
  <c r="AU45" i="3"/>
  <c r="AV44" i="3"/>
  <c r="DF37" i="3"/>
  <c r="DF22" i="3"/>
  <c r="DF14"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c r="BN10" i="3"/>
  <c r="DH32" i="3"/>
  <c r="BN32" i="3"/>
  <c r="DH33" i="3"/>
  <c r="BN33" i="3"/>
  <c r="DH25" i="3"/>
  <c r="BN25" i="3"/>
  <c r="DH23" i="3"/>
  <c r="BN23" i="3"/>
  <c r="DH20" i="3"/>
  <c r="BN20" i="3"/>
  <c r="DH22" i="3"/>
  <c r="BN22" i="3"/>
  <c r="DH31" i="3"/>
  <c r="BN31" i="3"/>
  <c r="DH42" i="3"/>
  <c r="BN42" i="3"/>
  <c r="DH53" i="3"/>
  <c r="BN53" i="3"/>
  <c r="DH13" i="3"/>
  <c r="BN13" i="3"/>
  <c r="DH34" i="3"/>
  <c r="BN34" i="3"/>
  <c r="DH11" i="3"/>
  <c r="BN11" i="3"/>
  <c r="DH44" i="3"/>
  <c r="BN44" i="3"/>
  <c r="DH14" i="3"/>
  <c r="BN14" i="3"/>
  <c r="DH16" i="3"/>
  <c r="BN16" i="3"/>
  <c r="DH19" i="3"/>
  <c r="BN19" i="3"/>
  <c r="DH7" i="3"/>
  <c r="BN7" i="3"/>
  <c r="DH51" i="3"/>
  <c r="BN51" i="3"/>
  <c r="DH39" i="3"/>
  <c r="BN39" i="3"/>
  <c r="DH49" i="3"/>
  <c r="BN49" i="3"/>
  <c r="DH18" i="3"/>
  <c r="BN18" i="3"/>
  <c r="DH21" i="3"/>
  <c r="BN21" i="3"/>
  <c r="DH41" i="3"/>
  <c r="BN41" i="3"/>
  <c r="DH48" i="3"/>
  <c r="BN48" i="3"/>
  <c r="DH36" i="3"/>
  <c r="BN36" i="3"/>
  <c r="DH35" i="3"/>
  <c r="BN35" i="3"/>
  <c r="DH45" i="3"/>
  <c r="BN45" i="3"/>
  <c r="DH27" i="3"/>
  <c r="BN27" i="3"/>
  <c r="DH52" i="3"/>
  <c r="BN52" i="3"/>
  <c r="DH17" i="3"/>
  <c r="BN17" i="3"/>
  <c r="DH47" i="3"/>
  <c r="BN47" i="3"/>
  <c r="DH26" i="3"/>
  <c r="BN26" i="3"/>
  <c r="DH46" i="3"/>
  <c r="BN46" i="3"/>
  <c r="DH29" i="3"/>
  <c r="BN29" i="3"/>
  <c r="DH28" i="3"/>
  <c r="BN28" i="3"/>
  <c r="DH38" i="3"/>
  <c r="BN38" i="3"/>
  <c r="DH40" i="3"/>
  <c r="BN40" i="3"/>
  <c r="DH15" i="3"/>
  <c r="BN15" i="3"/>
  <c r="DH24" i="3"/>
  <c r="BN24" i="3"/>
  <c r="DH37" i="3"/>
  <c r="BN37" i="3"/>
  <c r="DH43" i="3"/>
  <c r="BN43" i="3"/>
  <c r="DH50" i="3"/>
  <c r="BN50" i="3"/>
  <c r="DH30" i="3"/>
  <c r="BN30" i="3"/>
  <c r="DH6" i="3"/>
  <c r="BN6" i="3"/>
  <c r="DH8" i="3"/>
  <c r="BN8" i="3"/>
  <c r="DH9" i="3"/>
  <c r="BN9" i="3"/>
  <c r="DH12" i="3"/>
  <c r="BN12" i="3"/>
  <c r="AL6" i="3"/>
  <c r="AK6" i="3" a="1"/>
  <c r="AK6" i="3"/>
  <c r="AL14" i="3"/>
  <c r="AT14" i="3"/>
  <c r="J12" i="45"/>
  <c r="AL8" i="3"/>
  <c r="H6" i="45"/>
  <c r="BD58" i="3"/>
  <c r="BI58" i="3"/>
  <c r="AL7" i="3"/>
  <c r="M101" i="3"/>
  <c r="AA101" i="3"/>
  <c r="C130" i="31"/>
  <c r="AL9" i="3"/>
  <c r="AL15" i="3"/>
  <c r="AL38" i="3"/>
  <c r="AL88" i="3"/>
  <c r="AL97" i="3"/>
  <c r="AL49" i="3"/>
  <c r="BD69" i="3"/>
  <c r="BI69" i="3"/>
  <c r="AL70" i="3"/>
  <c r="BD60" i="3"/>
  <c r="BG60" i="3"/>
  <c r="AL25" i="3"/>
  <c r="AL56" i="3"/>
  <c r="AL63" i="3"/>
  <c r="AL80" i="3"/>
  <c r="BD66" i="3"/>
  <c r="BG66" i="3"/>
  <c r="BD65" i="3"/>
  <c r="BI65" i="3"/>
  <c r="AL57" i="3"/>
  <c r="AL16" i="3"/>
  <c r="AL96" i="3"/>
  <c r="AL71" i="3"/>
  <c r="BD68" i="3"/>
  <c r="BH68" i="3"/>
  <c r="AL64" i="3"/>
  <c r="AL94" i="3"/>
  <c r="AL24" i="3"/>
  <c r="AL32" i="3"/>
  <c r="AL81" i="3"/>
  <c r="AL79" i="3"/>
  <c r="AL31" i="3"/>
  <c r="BD62" i="3"/>
  <c r="BG62" i="3"/>
  <c r="AL73" i="3"/>
  <c r="AL54" i="3"/>
  <c r="BD67" i="3"/>
  <c r="AL55" i="3"/>
  <c r="AL47" i="3"/>
  <c r="AL72" i="3"/>
  <c r="AL89" i="3"/>
  <c r="AL23" i="3"/>
  <c r="AL30" i="3"/>
  <c r="BH60" i="3"/>
  <c r="BD64" i="3"/>
  <c r="BH64" i="3"/>
  <c r="AL39" i="3"/>
  <c r="AL41" i="3"/>
  <c r="AL46" i="3"/>
  <c r="BI60" i="3"/>
  <c r="AL86" i="3"/>
  <c r="AL87" i="3"/>
  <c r="AL78" i="3"/>
  <c r="AL17" i="3"/>
  <c r="AL62" i="3"/>
  <c r="AL40" i="3"/>
  <c r="AL33" i="3"/>
  <c r="BD59" i="3"/>
  <c r="BH59" i="3"/>
  <c r="AL65" i="3"/>
  <c r="BD61" i="3"/>
  <c r="BG61" i="3"/>
  <c r="AL22" i="3"/>
  <c r="AL48" i="3"/>
  <c r="BD63" i="3"/>
  <c r="BG63" i="3"/>
  <c r="AL95" i="3"/>
  <c r="BG69" i="3"/>
  <c r="BG64" i="3"/>
  <c r="BG65" i="3"/>
  <c r="BI63" i="3"/>
  <c r="BH65" i="3"/>
  <c r="BI59" i="3"/>
  <c r="BG58" i="3"/>
  <c r="BH62" i="3"/>
  <c r="BG68" i="3"/>
  <c r="BH69" i="3"/>
  <c r="BH58" i="3"/>
  <c r="BH66" i="3"/>
  <c r="BI62" i="3"/>
  <c r="BI68" i="3"/>
  <c r="BI61" i="3"/>
  <c r="BH61" i="3"/>
  <c r="BI64" i="3"/>
  <c r="BG67" i="3"/>
  <c r="BI66" i="3"/>
  <c r="BH63" i="3"/>
  <c r="BF63" i="3"/>
  <c r="BJ63" i="3"/>
  <c r="BH67" i="3"/>
  <c r="BG59" i="3"/>
  <c r="BF59" i="3"/>
  <c r="BJ59" i="3"/>
  <c r="BI67" i="3"/>
  <c r="M107" i="3"/>
  <c r="AA107" i="3"/>
  <c r="AA33" i="45"/>
  <c r="H4" i="45"/>
  <c r="AO6" i="3"/>
  <c r="AM6" i="3"/>
  <c r="I4" i="45"/>
  <c r="AN6" i="3"/>
  <c r="AR6" i="3"/>
  <c r="AA9" i="45"/>
  <c r="AP14" i="3"/>
  <c r="AQ14" i="3"/>
  <c r="AQ6" i="3"/>
  <c r="AP6" i="3"/>
  <c r="AS6" i="3"/>
  <c r="AT6" i="3"/>
  <c r="J4" i="45"/>
  <c r="H12" i="45"/>
  <c r="AK14" i="3" a="1"/>
  <c r="AK14" i="3"/>
  <c r="M113" i="3"/>
  <c r="AA113" i="3"/>
  <c r="D113" i="3"/>
  <c r="AK8" i="3" a="1"/>
  <c r="AK8" i="3"/>
  <c r="AO8" i="3"/>
  <c r="AP8" i="3"/>
  <c r="AM14" i="3"/>
  <c r="I12" i="45"/>
  <c r="AM8" i="3"/>
  <c r="I6" i="45"/>
  <c r="AO14" i="3"/>
  <c r="AT8" i="3"/>
  <c r="J6" i="45"/>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c r="AK7" i="3" a="1"/>
  <c r="AK7" i="3"/>
  <c r="AM7" i="3"/>
  <c r="I5" i="45"/>
  <c r="AS7" i="3"/>
  <c r="AQ7" i="3"/>
  <c r="AN7" i="3"/>
  <c r="AP7" i="3"/>
  <c r="AR9" i="3"/>
  <c r="AT9" i="3"/>
  <c r="J7" i="45"/>
  <c r="AM9" i="3"/>
  <c r="I7" i="45"/>
  <c r="AK9" i="3" a="1"/>
  <c r="AK9" i="3"/>
  <c r="AO9" i="3"/>
  <c r="H7" i="45"/>
  <c r="AQ9" i="3"/>
  <c r="AN9" i="3"/>
  <c r="AP9" i="3"/>
  <c r="AS9" i="3"/>
  <c r="AK15" i="3" a="1"/>
  <c r="AK15" i="3"/>
  <c r="AT15" i="3"/>
  <c r="J13" i="45"/>
  <c r="N101" i="3"/>
  <c r="AF101" i="3"/>
  <c r="D101" i="3"/>
  <c r="AS15" i="3"/>
  <c r="AR15" i="3"/>
  <c r="AO15" i="3"/>
  <c r="AN15" i="3"/>
  <c r="AM15" i="3"/>
  <c r="I13" i="45"/>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c r="AN89" i="3"/>
  <c r="AK89" i="3" a="1"/>
  <c r="AK89" i="3"/>
  <c r="AR89" i="3"/>
  <c r="T39" i="45"/>
  <c r="AP89" i="3"/>
  <c r="AO89" i="3"/>
  <c r="AS89" i="3"/>
  <c r="AT89" i="3"/>
  <c r="V39" i="45"/>
  <c r="AM81" i="3"/>
  <c r="U31" i="45"/>
  <c r="AK81" i="3" a="1"/>
  <c r="AK81" i="3"/>
  <c r="AN81" i="3"/>
  <c r="AS81" i="3"/>
  <c r="T31" i="45"/>
  <c r="AR81" i="3"/>
  <c r="AO81" i="3"/>
  <c r="AT81" i="3"/>
  <c r="V31" i="45"/>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c r="AP80" i="3"/>
  <c r="AQ80" i="3"/>
  <c r="AM80" i="3"/>
  <c r="U30" i="45"/>
  <c r="AK80" i="3" a="1"/>
  <c r="AK80" i="3"/>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c r="AM17" i="3"/>
  <c r="I15" i="45"/>
  <c r="AQ17" i="3"/>
  <c r="AP17" i="3"/>
  <c r="AR17" i="3"/>
  <c r="H15" i="45"/>
  <c r="AN17" i="3"/>
  <c r="AO17" i="3"/>
  <c r="AK17" i="3" a="1"/>
  <c r="AK17" i="3"/>
  <c r="AS17" i="3"/>
  <c r="AP54" i="3"/>
  <c r="AQ54" i="3"/>
  <c r="T4" i="45"/>
  <c r="AS54" i="3"/>
  <c r="M110" i="3"/>
  <c r="AA109" i="3"/>
  <c r="D109" i="3"/>
  <c r="AN54" i="3"/>
  <c r="AM54" i="3"/>
  <c r="U4" i="45"/>
  <c r="AT54" i="3"/>
  <c r="V4" i="45"/>
  <c r="AK54" i="3" a="1"/>
  <c r="AK54" i="3"/>
  <c r="AR54" i="3"/>
  <c r="AO54" i="3"/>
  <c r="AM71" i="3"/>
  <c r="U21" i="45"/>
  <c r="AS71" i="3"/>
  <c r="AN71" i="3"/>
  <c r="AP71" i="3"/>
  <c r="AR71" i="3"/>
  <c r="AO71" i="3"/>
  <c r="N106" i="3"/>
  <c r="AF105" i="3"/>
  <c r="AQ71" i="3"/>
  <c r="AT71" i="3"/>
  <c r="V21" i="45"/>
  <c r="T21" i="45"/>
  <c r="AK71" i="3" a="1"/>
  <c r="AK71" i="3"/>
  <c r="AN63" i="3"/>
  <c r="AO63" i="3"/>
  <c r="AT63" i="3"/>
  <c r="V13" i="45"/>
  <c r="T13" i="45"/>
  <c r="N114" i="3"/>
  <c r="AF115" i="3"/>
  <c r="AM63" i="3"/>
  <c r="U13" i="45"/>
  <c r="AK63" i="3" a="1"/>
  <c r="AK63" i="3"/>
  <c r="AP63" i="3"/>
  <c r="AQ63" i="3"/>
  <c r="AS63" i="3"/>
  <c r="AR63" i="3"/>
  <c r="AK56" i="3" a="1"/>
  <c r="AK56" i="3"/>
  <c r="AS56" i="3"/>
  <c r="AR56" i="3"/>
  <c r="AP56" i="3"/>
  <c r="T6" i="45"/>
  <c r="AN56" i="3"/>
  <c r="AM56" i="3"/>
  <c r="U6" i="45"/>
  <c r="AQ56" i="3"/>
  <c r="AO56" i="3"/>
  <c r="AT56" i="3"/>
  <c r="V6" i="45"/>
  <c r="AS65" i="3"/>
  <c r="AN65" i="3"/>
  <c r="T15" i="45"/>
  <c r="AT65" i="3"/>
  <c r="V15" i="45"/>
  <c r="AR65" i="3"/>
  <c r="AM65" i="3"/>
  <c r="U15" i="45"/>
  <c r="AO65" i="3"/>
  <c r="AP65" i="3"/>
  <c r="AK65" i="3" a="1"/>
  <c r="AK65" i="3"/>
  <c r="AQ65" i="3"/>
  <c r="AO78" i="3"/>
  <c r="AM78" i="3"/>
  <c r="U28" i="45"/>
  <c r="AN78" i="3"/>
  <c r="T28" i="45"/>
  <c r="AK78" i="3" a="1"/>
  <c r="AK78" i="3"/>
  <c r="AQ78" i="3"/>
  <c r="AR78" i="3"/>
  <c r="AS78" i="3"/>
  <c r="AP78" i="3"/>
  <c r="AT78" i="3"/>
  <c r="V28" i="45"/>
  <c r="M114" i="3"/>
  <c r="AA115" i="3"/>
  <c r="D115" i="3"/>
  <c r="AT72" i="3"/>
  <c r="V22" i="45"/>
  <c r="AS72" i="3"/>
  <c r="AP72" i="3"/>
  <c r="AK72" i="3" a="1"/>
  <c r="AK72" i="3"/>
  <c r="AN72" i="3"/>
  <c r="T22" i="45"/>
  <c r="AM72" i="3"/>
  <c r="U22" i="45"/>
  <c r="AR72" i="3"/>
  <c r="AO72" i="3"/>
  <c r="AQ72" i="3"/>
  <c r="AS73" i="3"/>
  <c r="AN73" i="3"/>
  <c r="AP73" i="3"/>
  <c r="T23" i="45"/>
  <c r="AT73" i="3"/>
  <c r="V23" i="45"/>
  <c r="AR73" i="3"/>
  <c r="AM73" i="3"/>
  <c r="U23" i="45"/>
  <c r="AO73" i="3"/>
  <c r="AQ73" i="3"/>
  <c r="AK73" i="3" a="1"/>
  <c r="AK73" i="3"/>
  <c r="AT96" i="3"/>
  <c r="V46" i="45"/>
  <c r="AR96" i="3"/>
  <c r="AP96" i="3"/>
  <c r="AQ96" i="3"/>
  <c r="AM96" i="3"/>
  <c r="U46" i="45"/>
  <c r="AN96" i="3"/>
  <c r="T46" i="45"/>
  <c r="AK96" i="3" a="1"/>
  <c r="AK96" i="3"/>
  <c r="AS96" i="3"/>
  <c r="AO96" i="3"/>
  <c r="AP25" i="3"/>
  <c r="AO25" i="3"/>
  <c r="AS25" i="3"/>
  <c r="AQ25" i="3"/>
  <c r="AT25" i="3"/>
  <c r="J23" i="45"/>
  <c r="AN25" i="3"/>
  <c r="H23" i="45"/>
  <c r="AR25" i="3"/>
  <c r="AK25" i="3" a="1"/>
  <c r="AK25" i="3"/>
  <c r="AM25" i="3"/>
  <c r="I23" i="45"/>
  <c r="BF60" i="3"/>
  <c r="BE60" i="3"/>
  <c r="BR60" i="3"/>
  <c r="AR48" i="3"/>
  <c r="AO48" i="3"/>
  <c r="AN48" i="3"/>
  <c r="AK48" i="3" a="1"/>
  <c r="AK48" i="3"/>
  <c r="AS48" i="3"/>
  <c r="AP48" i="3"/>
  <c r="AQ48" i="3"/>
  <c r="AT48" i="3"/>
  <c r="J46" i="45"/>
  <c r="AM48" i="3"/>
  <c r="I46" i="45"/>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c r="AO40" i="3"/>
  <c r="AQ40" i="3"/>
  <c r="AK40" i="3" a="1"/>
  <c r="AK40" i="3"/>
  <c r="AP40" i="3"/>
  <c r="H38" i="45"/>
  <c r="AT40" i="3"/>
  <c r="J38" i="45"/>
  <c r="AS40" i="3"/>
  <c r="AN40" i="3"/>
  <c r="AR40" i="3"/>
  <c r="AS87" i="3"/>
  <c r="AN87" i="3"/>
  <c r="M111" i="3"/>
  <c r="AA112" i="3"/>
  <c r="D112" i="3"/>
  <c r="T37" i="45"/>
  <c r="AP87" i="3"/>
  <c r="AO87" i="3"/>
  <c r="AQ87" i="3"/>
  <c r="AK87" i="3" a="1"/>
  <c r="AK87" i="3"/>
  <c r="AT87" i="3"/>
  <c r="V37" i="45"/>
  <c r="AR87" i="3"/>
  <c r="AM87" i="3"/>
  <c r="U37" i="45"/>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c r="AR32" i="3"/>
  <c r="AM32" i="3"/>
  <c r="I30" i="45"/>
  <c r="AT32" i="3"/>
  <c r="J30" i="45"/>
  <c r="AT16" i="3"/>
  <c r="J14" i="45"/>
  <c r="AP16" i="3"/>
  <c r="AN16" i="3"/>
  <c r="AK16" i="3" a="1"/>
  <c r="AK16" i="3"/>
  <c r="AQ16" i="3"/>
  <c r="H14" i="45"/>
  <c r="AO16" i="3"/>
  <c r="AM16" i="3"/>
  <c r="I14" i="45"/>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c r="D102" i="3"/>
  <c r="AM22" i="3"/>
  <c r="I20" i="45"/>
  <c r="H20" i="45"/>
  <c r="AK22" i="3" a="1"/>
  <c r="AK22" i="3"/>
  <c r="AO22" i="3"/>
  <c r="AT22" i="3"/>
  <c r="J20" i="45"/>
  <c r="AS22" i="3"/>
  <c r="AR22" i="3"/>
  <c r="AK33" i="3" a="1"/>
  <c r="AK33" i="3"/>
  <c r="AT33" i="3"/>
  <c r="J31" i="45"/>
  <c r="AP33" i="3"/>
  <c r="AM33" i="3"/>
  <c r="I31" i="45"/>
  <c r="H31" i="45"/>
  <c r="AO33" i="3"/>
  <c r="AR33" i="3"/>
  <c r="AN33" i="3"/>
  <c r="AQ33" i="3"/>
  <c r="AS33" i="3"/>
  <c r="AP62" i="3"/>
  <c r="AR62" i="3"/>
  <c r="T12" i="45"/>
  <c r="M112" i="3"/>
  <c r="AA111" i="3"/>
  <c r="D111" i="3"/>
  <c r="AK62" i="3" a="1"/>
  <c r="AK62" i="3"/>
  <c r="AQ62" i="3"/>
  <c r="AO62" i="3"/>
  <c r="AT62" i="3"/>
  <c r="V12" i="45"/>
  <c r="AS62" i="3"/>
  <c r="AN62" i="3"/>
  <c r="AM62" i="3"/>
  <c r="U12" i="45"/>
  <c r="AT86" i="3"/>
  <c r="V36" i="45"/>
  <c r="AO86" i="3"/>
  <c r="AP86" i="3"/>
  <c r="T36" i="45"/>
  <c r="AQ86" i="3"/>
  <c r="AN86" i="3"/>
  <c r="AK86" i="3" a="1"/>
  <c r="AK86" i="3"/>
  <c r="AM86" i="3"/>
  <c r="U36" i="45"/>
  <c r="AS86" i="3"/>
  <c r="M115" i="3"/>
  <c r="AA116" i="3"/>
  <c r="D116" i="3"/>
  <c r="AR86" i="3"/>
  <c r="H28" i="45"/>
  <c r="AN30" i="3"/>
  <c r="AK30" i="3" a="1"/>
  <c r="AK30" i="3"/>
  <c r="AP30" i="3"/>
  <c r="AQ30" i="3"/>
  <c r="AT30" i="3"/>
  <c r="J28" i="45"/>
  <c r="AM30" i="3"/>
  <c r="I28" i="45"/>
  <c r="AO30" i="3"/>
  <c r="AS30" i="3"/>
  <c r="AR30" i="3"/>
  <c r="M109" i="3"/>
  <c r="AA110" i="3"/>
  <c r="AT47" i="3"/>
  <c r="J45" i="45"/>
  <c r="N104" i="3"/>
  <c r="AF102" i="3"/>
  <c r="H45" i="45"/>
  <c r="AK47" i="3" a="1"/>
  <c r="AK47" i="3"/>
  <c r="AR47" i="3"/>
  <c r="AO47" i="3"/>
  <c r="AQ47" i="3"/>
  <c r="AS47" i="3"/>
  <c r="AP47" i="3"/>
  <c r="AN47" i="3"/>
  <c r="AM47" i="3"/>
  <c r="I45" i="45"/>
  <c r="AQ31" i="3"/>
  <c r="AR31" i="3"/>
  <c r="AT31" i="3"/>
  <c r="J29" i="45"/>
  <c r="H29" i="45"/>
  <c r="AN31" i="3"/>
  <c r="AP31" i="3"/>
  <c r="AM31" i="3"/>
  <c r="I29" i="45"/>
  <c r="AO31" i="3"/>
  <c r="M116" i="3"/>
  <c r="AA114" i="3"/>
  <c r="N116" i="3"/>
  <c r="AF114" i="3"/>
  <c r="D114" i="3"/>
  <c r="AK31" i="3" a="1"/>
  <c r="AK31" i="3"/>
  <c r="AS31" i="3"/>
  <c r="AM24" i="3"/>
  <c r="I22" i="45"/>
  <c r="AT24" i="3"/>
  <c r="J22" i="45"/>
  <c r="AO24" i="3"/>
  <c r="AQ24" i="3"/>
  <c r="AR24" i="3"/>
  <c r="AP24" i="3"/>
  <c r="AK24" i="3" a="1"/>
  <c r="AK24" i="3"/>
  <c r="H22" i="45"/>
  <c r="AS24" i="3"/>
  <c r="AN24" i="3"/>
  <c r="AR57" i="3"/>
  <c r="AK57" i="3" a="1"/>
  <c r="AK57" i="3"/>
  <c r="T7" i="45"/>
  <c r="AQ57" i="3"/>
  <c r="AP57" i="3"/>
  <c r="AN57" i="3"/>
  <c r="AM57" i="3"/>
  <c r="U7" i="45"/>
  <c r="AT57" i="3"/>
  <c r="V7" i="45"/>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c r="AP49" i="3"/>
  <c r="H47" i="45"/>
  <c r="AO49" i="3"/>
  <c r="AK49" i="3" a="1"/>
  <c r="AK49" i="3"/>
  <c r="AQ49" i="3"/>
  <c r="AN49" i="3"/>
  <c r="AS49" i="3"/>
  <c r="AM49" i="3"/>
  <c r="I47" i="45"/>
  <c r="AN41" i="3"/>
  <c r="H39" i="45"/>
  <c r="AT41" i="3"/>
  <c r="J39" i="45"/>
  <c r="AP41" i="3"/>
  <c r="AQ41" i="3"/>
  <c r="AS41" i="3"/>
  <c r="AO41" i="3"/>
  <c r="AM41" i="3"/>
  <c r="I39" i="45"/>
  <c r="AK41" i="3" a="1"/>
  <c r="AK41" i="3"/>
  <c r="AR41" i="3"/>
  <c r="AK23" i="3" a="1"/>
  <c r="AK23" i="3"/>
  <c r="AT23" i="3"/>
  <c r="J21" i="45"/>
  <c r="H21" i="45"/>
  <c r="AO23" i="3"/>
  <c r="N103" i="3"/>
  <c r="AF104" i="3"/>
  <c r="AP23" i="3"/>
  <c r="AS23" i="3"/>
  <c r="AQ23" i="3"/>
  <c r="AN23" i="3"/>
  <c r="AR23" i="3"/>
  <c r="AM23" i="3"/>
  <c r="I21" i="45"/>
  <c r="AS55" i="3"/>
  <c r="AK55" i="3" a="1"/>
  <c r="AK55" i="3"/>
  <c r="AO55" i="3"/>
  <c r="AR55" i="3"/>
  <c r="T5" i="45"/>
  <c r="AP55" i="3"/>
  <c r="AT55" i="3"/>
  <c r="V5" i="45"/>
  <c r="AN55" i="3"/>
  <c r="AM55" i="3"/>
  <c r="U5" i="45"/>
  <c r="AQ55" i="3"/>
  <c r="AN94" i="3"/>
  <c r="AM94" i="3"/>
  <c r="U44" i="45"/>
  <c r="AQ94" i="3"/>
  <c r="AK94" i="3" a="1"/>
  <c r="AK94" i="3"/>
  <c r="AS94" i="3"/>
  <c r="AT94" i="3"/>
  <c r="V44" i="45"/>
  <c r="AR94" i="3"/>
  <c r="AO94" i="3"/>
  <c r="T44" i="45"/>
  <c r="AP94" i="3"/>
  <c r="M108" i="3"/>
  <c r="AA108" i="3"/>
  <c r="D108" i="3"/>
  <c r="AK97" i="3" a="1"/>
  <c r="AK97" i="3"/>
  <c r="AN97" i="3"/>
  <c r="AS97" i="3"/>
  <c r="AR97" i="3"/>
  <c r="AM97" i="3"/>
  <c r="U47" i="45"/>
  <c r="AP97" i="3"/>
  <c r="AQ97" i="3"/>
  <c r="AO97" i="3"/>
  <c r="AT97" i="3"/>
  <c r="V47" i="45"/>
  <c r="T47" i="45"/>
  <c r="AP95" i="3"/>
  <c r="AR95" i="3"/>
  <c r="AM95" i="3"/>
  <c r="U45" i="45"/>
  <c r="AO95" i="3"/>
  <c r="N111" i="3"/>
  <c r="AF112" i="3"/>
  <c r="AS95" i="3"/>
  <c r="AN95" i="3"/>
  <c r="AQ95" i="3"/>
  <c r="AK95" i="3" a="1"/>
  <c r="AK95" i="3"/>
  <c r="AT95" i="3"/>
  <c r="V45" i="45"/>
  <c r="T45" i="45"/>
  <c r="BF65" i="3"/>
  <c r="BJ65" i="3"/>
  <c r="AR39" i="3"/>
  <c r="AM39" i="3"/>
  <c r="I37" i="45"/>
  <c r="M106" i="3"/>
  <c r="AA105" i="3"/>
  <c r="D105" i="3"/>
  <c r="AQ39" i="3"/>
  <c r="AS39" i="3"/>
  <c r="AN39" i="3"/>
  <c r="AT39" i="3"/>
  <c r="J37" i="45"/>
  <c r="H37" i="45"/>
  <c r="AP39" i="3"/>
  <c r="AO39" i="3"/>
  <c r="AK39" i="3" a="1"/>
  <c r="AK39" i="3"/>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c r="AO79" i="3"/>
  <c r="T29" i="45"/>
  <c r="N112" i="3"/>
  <c r="AF111" i="3"/>
  <c r="AQ79" i="3"/>
  <c r="AM79" i="3"/>
  <c r="U29" i="45"/>
  <c r="AR79" i="3"/>
  <c r="AN79" i="3"/>
  <c r="AT79" i="3"/>
  <c r="V29" i="45"/>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c r="AO88" i="3"/>
  <c r="AT88" i="3"/>
  <c r="V38" i="45"/>
  <c r="AR88" i="3"/>
  <c r="AQ88" i="3"/>
  <c r="AN88" i="3"/>
  <c r="AP88" i="3"/>
  <c r="T38" i="45"/>
  <c r="AK88" i="3" a="1"/>
  <c r="AK88" i="3"/>
  <c r="AS88" i="3"/>
  <c r="AS46" i="3"/>
  <c r="AQ46" i="3"/>
  <c r="AN46" i="3"/>
  <c r="H44" i="45"/>
  <c r="M103" i="3"/>
  <c r="AA104" i="3"/>
  <c r="AP46" i="3"/>
  <c r="AR46" i="3"/>
  <c r="AO46" i="3"/>
  <c r="AK46" i="3" a="1"/>
  <c r="AK46" i="3"/>
  <c r="AM46" i="3"/>
  <c r="I44" i="45"/>
  <c r="AT46" i="3"/>
  <c r="J44" i="45"/>
  <c r="AK64" i="3" a="1"/>
  <c r="AK64" i="3"/>
  <c r="AR64" i="3"/>
  <c r="AT64" i="3"/>
  <c r="V14" i="45"/>
  <c r="AM64" i="3"/>
  <c r="U14" i="45"/>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c r="AQ70" i="3"/>
  <c r="AP70" i="3"/>
  <c r="AT70" i="3"/>
  <c r="V20" i="45"/>
  <c r="AO70" i="3"/>
  <c r="AS70" i="3"/>
  <c r="AN70" i="3"/>
  <c r="AM70" i="3"/>
  <c r="U20" i="45"/>
  <c r="AR70" i="3"/>
  <c r="T20" i="45"/>
  <c r="M105" i="3"/>
  <c r="AA106" i="3"/>
  <c r="D106" i="3"/>
  <c r="AM38" i="3"/>
  <c r="I36" i="45"/>
  <c r="AT38" i="3"/>
  <c r="J36" i="45"/>
  <c r="H36" i="45"/>
  <c r="M102" i="3"/>
  <c r="AA103" i="3"/>
  <c r="D103" i="3"/>
  <c r="AK38" i="3" a="1"/>
  <c r="AK38" i="3"/>
  <c r="AS38" i="3"/>
  <c r="AO38" i="3"/>
  <c r="AQ38" i="3"/>
  <c r="AN38" i="3"/>
  <c r="AR38" i="3"/>
  <c r="AP38" i="3"/>
  <c r="BF69" i="3"/>
  <c r="BE69" i="3"/>
  <c r="BR69" i="3"/>
  <c r="W14" i="45"/>
  <c r="BF64" i="3"/>
  <c r="BJ64" i="3"/>
  <c r="BF61" i="3"/>
  <c r="BJ61" i="3"/>
  <c r="BF62" i="3"/>
  <c r="BF68" i="3"/>
  <c r="BE68" i="3"/>
  <c r="BR68" i="3"/>
  <c r="BF66" i="3"/>
  <c r="BJ66" i="3"/>
  <c r="BF58" i="3"/>
  <c r="BK58" i="3"/>
  <c r="BF67" i="3"/>
  <c r="BJ67" i="3"/>
  <c r="BE64" i="3"/>
  <c r="BR64" i="3"/>
  <c r="BE65" i="3"/>
  <c r="BR65" i="3"/>
  <c r="BE63" i="3"/>
  <c r="BR63" i="3"/>
  <c r="BK60" i="3"/>
  <c r="BJ60" i="3"/>
  <c r="BJ62" i="3"/>
  <c r="BK66" i="3"/>
  <c r="BE61" i="3"/>
  <c r="BR61" i="3"/>
  <c r="BK59" i="3"/>
  <c r="BL59" i="3"/>
  <c r="BK61" i="3"/>
  <c r="BK65" i="3"/>
  <c r="BL65" i="3"/>
  <c r="BK64" i="3"/>
  <c r="BK68" i="3"/>
  <c r="BJ68" i="3"/>
  <c r="BE66" i="3"/>
  <c r="BR66" i="3"/>
  <c r="BE59" i="3"/>
  <c r="BR59" i="3"/>
  <c r="BK63" i="3"/>
  <c r="BL63" i="3"/>
  <c r="BJ69" i="3"/>
  <c r="BK69" i="3"/>
  <c r="D104" i="3"/>
  <c r="AG104" i="3"/>
  <c r="AG116" i="3"/>
  <c r="N127" i="3"/>
  <c r="AF127" i="3"/>
  <c r="AG115" i="3"/>
  <c r="M126" i="3"/>
  <c r="AA126" i="3"/>
  <c r="AG114" i="3"/>
  <c r="N126" i="3"/>
  <c r="AF126" i="3"/>
  <c r="AG113" i="3"/>
  <c r="M127" i="3"/>
  <c r="AA127" i="3"/>
  <c r="D127" i="3"/>
  <c r="AG112" i="3"/>
  <c r="M124" i="3"/>
  <c r="AA124" i="3"/>
  <c r="N124" i="3"/>
  <c r="AF124" i="3"/>
  <c r="D124" i="3"/>
  <c r="AG111" i="3"/>
  <c r="N125" i="3"/>
  <c r="AF125" i="3"/>
  <c r="AG109" i="3"/>
  <c r="N120" i="3"/>
  <c r="AF121" i="3"/>
  <c r="AG106" i="3"/>
  <c r="N123" i="3"/>
  <c r="AF123" i="3"/>
  <c r="AG108" i="3"/>
  <c r="N122" i="3"/>
  <c r="AF122" i="3"/>
  <c r="AG105" i="3"/>
  <c r="AG103" i="3"/>
  <c r="M120" i="3"/>
  <c r="AA121" i="3"/>
  <c r="D121" i="3"/>
  <c r="M122" i="3"/>
  <c r="AA122" i="3"/>
  <c r="D122" i="3"/>
  <c r="AG102" i="3"/>
  <c r="C136" i="31"/>
  <c r="AG101" i="3"/>
  <c r="M121" i="3"/>
  <c r="AA120" i="3"/>
  <c r="N121" i="3"/>
  <c r="AF120" i="3"/>
  <c r="D120" i="3"/>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BL64" i="3"/>
  <c r="BE58" i="3"/>
  <c r="BR58" i="3"/>
  <c r="BJ58" i="3"/>
  <c r="BL58" i="3"/>
  <c r="BE67" i="3"/>
  <c r="BR67" i="3"/>
  <c r="BK67" i="3"/>
  <c r="BL67" i="3"/>
  <c r="BK62" i="3"/>
  <c r="BL62" i="3"/>
  <c r="BE62" i="3"/>
  <c r="BR62" i="3"/>
  <c r="BL61" i="3"/>
  <c r="BL66" i="3"/>
  <c r="BL60" i="3"/>
  <c r="C200" i="31"/>
  <c r="BL68" i="3"/>
  <c r="BL69" i="3"/>
  <c r="D126" i="3"/>
  <c r="M134" i="3"/>
  <c r="AA134" i="3"/>
  <c r="D134" i="3"/>
  <c r="AG127" i="3"/>
  <c r="N134" i="3"/>
  <c r="AF134" i="3"/>
  <c r="AG122" i="3"/>
  <c r="M133" i="3"/>
  <c r="AA133" i="3"/>
  <c r="D133" i="3"/>
  <c r="M132" i="3"/>
  <c r="AA132" i="3"/>
  <c r="D132" i="3"/>
  <c r="AG124" i="3"/>
  <c r="M131" i="3"/>
  <c r="AA131" i="3"/>
  <c r="D131" i="3"/>
  <c r="AG121" i="3"/>
  <c r="N131" i="3"/>
  <c r="AF131" i="3"/>
  <c r="AG120"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BS63" i="3"/>
  <c r="BS68" i="3"/>
  <c r="BS66" i="3"/>
  <c r="BS65" i="3"/>
  <c r="BS58" i="3"/>
  <c r="BS69" i="3"/>
  <c r="BS60" i="3"/>
  <c r="BS64" i="3"/>
  <c r="BS67" i="3"/>
  <c r="BS62" i="3"/>
  <c r="BS61" i="3"/>
  <c r="BS59" i="3"/>
  <c r="C190" i="31"/>
  <c r="AE11" i="45"/>
  <c r="B200" i="31"/>
  <c r="AG126" i="3"/>
  <c r="AG134" i="3"/>
  <c r="N139" i="3"/>
  <c r="AF139" i="3"/>
  <c r="AG133" i="3"/>
  <c r="M139" i="3"/>
  <c r="AA139" i="3"/>
  <c r="N138" i="3"/>
  <c r="AF138" i="3"/>
  <c r="AG132" i="3"/>
  <c r="M138" i="3"/>
  <c r="AA138" i="3"/>
  <c r="AG131" i="3"/>
  <c r="AI44" i="45"/>
  <c r="C217" i="31"/>
  <c r="C211" i="31"/>
  <c r="AI19" i="45"/>
  <c r="C212" i="31"/>
  <c r="AI31" i="45"/>
  <c r="AI43" i="45"/>
  <c r="C213" i="31"/>
  <c r="B223" i="31"/>
  <c r="C223" i="31"/>
  <c r="AI7" i="45"/>
  <c r="C210" i="31"/>
  <c r="C220" i="31"/>
  <c r="C214" i="31"/>
  <c r="B220" i="31"/>
  <c r="AI8" i="45"/>
  <c r="BT68" i="3"/>
  <c r="BU68" i="3"/>
  <c r="BT62" i="3"/>
  <c r="BU62" i="3"/>
  <c r="BT67" i="3"/>
  <c r="BU67" i="3"/>
  <c r="BT60" i="3"/>
  <c r="BU60" i="3"/>
  <c r="BT66" i="3"/>
  <c r="BU66" i="3"/>
  <c r="BT69" i="3"/>
  <c r="BU69" i="3"/>
  <c r="BT61" i="3"/>
  <c r="BU61" i="3"/>
  <c r="BT64" i="3"/>
  <c r="BU64" i="3"/>
  <c r="BT59" i="3"/>
  <c r="BU59" i="3"/>
  <c r="BT63" i="3"/>
  <c r="BU63" i="3"/>
  <c r="BT65" i="3"/>
  <c r="BU65" i="3"/>
  <c r="BT58" i="3"/>
  <c r="BU58" i="3"/>
  <c r="AF147" i="3"/>
  <c r="D139" i="3"/>
  <c r="AF143" i="3"/>
  <c r="H139" i="3"/>
  <c r="H138" i="3"/>
  <c r="AA143" i="3"/>
  <c r="D138" i="3"/>
  <c r="AA147" i="3"/>
  <c r="AM38" i="45" a="1"/>
  <c r="AM38" i="45"/>
  <c r="C229" i="31"/>
  <c r="C227" i="31"/>
  <c r="AM37" i="45"/>
  <c r="C233" i="31"/>
  <c r="B233" i="31"/>
  <c r="C228" i="31"/>
  <c r="AM14" i="45"/>
  <c r="AM13" i="45"/>
  <c r="B232" i="31"/>
  <c r="C226" i="31"/>
  <c r="C232" i="31"/>
  <c r="BV61" i="3"/>
  <c r="BV60" i="3"/>
  <c r="BV66" i="3"/>
  <c r="BV69" i="3"/>
  <c r="BV65" i="3"/>
  <c r="BV68" i="3"/>
  <c r="BV62" i="3"/>
  <c r="BV59" i="3"/>
  <c r="BV64" i="3"/>
  <c r="BV58" i="3"/>
  <c r="BV67" i="3"/>
  <c r="BV63" i="3"/>
  <c r="D147" i="3"/>
  <c r="AG147" i="3"/>
  <c r="AA150" i="3"/>
  <c r="H147" i="3"/>
  <c r="AA151" i="3"/>
  <c r="AA152" i="3"/>
  <c r="D143" i="3"/>
  <c r="AG143" i="3"/>
  <c r="C237" i="31"/>
  <c r="AQ32" i="45"/>
  <c r="AG139" i="3"/>
  <c r="N143" i="3"/>
  <c r="N147" i="3"/>
  <c r="AU26" i="45"/>
  <c r="C241" i="31"/>
  <c r="C240" i="31"/>
  <c r="C247" i="31"/>
  <c r="B247" i="31"/>
  <c r="AU25" i="45"/>
  <c r="AG138" i="3"/>
  <c r="M147" i="3"/>
  <c r="M143" i="3"/>
  <c r="AQ31" i="45"/>
  <c r="C236" i="31"/>
  <c r="B244" i="31"/>
  <c r="C244" i="31"/>
  <c r="BW60" i="3"/>
  <c r="BX60" i="3"/>
  <c r="BW67" i="3"/>
  <c r="BX67" i="3"/>
  <c r="BW62" i="3"/>
  <c r="BX62" i="3"/>
  <c r="BW58" i="3"/>
  <c r="BX58" i="3"/>
  <c r="BW65" i="3"/>
  <c r="BX65" i="3"/>
  <c r="BW59" i="3"/>
  <c r="BX59" i="3"/>
  <c r="BW64" i="3"/>
  <c r="BX64" i="3"/>
  <c r="BW61" i="3"/>
  <c r="BX61" i="3"/>
  <c r="BW68" i="3"/>
  <c r="BX68" i="3"/>
  <c r="BW69" i="3"/>
  <c r="BX69" i="3"/>
  <c r="BW63" i="3"/>
  <c r="BX63" i="3"/>
  <c r="BW66" i="3"/>
  <c r="BX66" i="3"/>
  <c r="C251" i="31"/>
  <c r="BB23" i="45"/>
  <c r="AG151" i="3"/>
  <c r="C250" i="31"/>
  <c r="BA21" i="45"/>
  <c r="AG150" i="3"/>
  <c r="AG152" i="3"/>
  <c r="C252" i="31"/>
  <c r="AZ25"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c r="BZ60" i="3"/>
  <c r="BZ64" i="3"/>
  <c r="BZ58" i="3"/>
  <c r="BZ59" i="3"/>
  <c r="CA59" i="3"/>
  <c r="BZ61" i="3"/>
  <c r="BZ68" i="3"/>
  <c r="BZ69" i="3"/>
  <c r="BZ67" i="3"/>
  <c r="BZ62" i="3"/>
  <c r="BZ63" i="3"/>
  <c r="BZ66" i="3"/>
  <c r="CA69" i="3"/>
  <c r="CA68" i="3"/>
  <c r="CA61" i="3"/>
  <c r="CA66" i="3"/>
  <c r="CA58" i="3"/>
  <c r="CA64" i="3"/>
  <c r="CA67" i="3"/>
  <c r="CA63" i="3"/>
  <c r="CA62" i="3"/>
  <c r="CA60" i="3"/>
  <c r="CB66" i="3"/>
  <c r="BM66" i="3"/>
  <c r="CB59" i="3"/>
  <c r="BM59" i="3"/>
  <c r="CB62" i="3"/>
  <c r="BM62" i="3"/>
  <c r="CB60" i="3"/>
  <c r="BM60" i="3"/>
  <c r="CB63" i="3"/>
  <c r="BM63" i="3"/>
  <c r="CB65" i="3"/>
  <c r="BM65" i="3"/>
  <c r="CB68" i="3"/>
  <c r="BM68" i="3"/>
  <c r="CB69" i="3"/>
  <c r="BM69" i="3"/>
  <c r="CB67" i="3"/>
  <c r="BM67" i="3"/>
  <c r="CB64" i="3"/>
  <c r="BM64" i="3"/>
  <c r="CB61" i="3"/>
  <c r="BM61" i="3"/>
  <c r="CB58" i="3"/>
  <c r="BM58" i="3"/>
  <c r="DQ58" i="3"/>
  <c r="DJ58" i="3"/>
  <c r="AV102" i="3"/>
  <c r="DQ63" i="3"/>
  <c r="DJ63" i="3"/>
  <c r="AV108" i="3"/>
  <c r="DQ69" i="3"/>
  <c r="DJ69" i="3"/>
  <c r="DQ66" i="3"/>
  <c r="DJ66" i="3"/>
  <c r="AV111" i="3"/>
  <c r="AV105" i="3"/>
  <c r="DQ68" i="3"/>
  <c r="DJ68" i="3"/>
  <c r="AV103" i="3"/>
  <c r="AV113" i="3"/>
  <c r="DQ67" i="3"/>
  <c r="DJ67" i="3"/>
  <c r="DQ64" i="3"/>
  <c r="DJ64" i="3"/>
  <c r="AV106" i="3"/>
  <c r="DQ62" i="3"/>
  <c r="DJ62" i="3"/>
  <c r="DQ60" i="3"/>
  <c r="DJ60" i="3"/>
  <c r="AV104" i="3"/>
  <c r="AV109" i="3"/>
  <c r="DQ61" i="3"/>
  <c r="DJ61" i="3"/>
  <c r="AV107" i="3"/>
  <c r="AV110" i="3"/>
  <c r="DQ65" i="3"/>
  <c r="DJ65" i="3"/>
  <c r="AV112" i="3"/>
  <c r="DQ59" i="3"/>
  <c r="DJ59" i="3"/>
  <c r="DL59" i="3"/>
  <c r="AU103" i="3"/>
  <c r="DL60" i="3"/>
  <c r="AU104" i="3"/>
  <c r="DL62" i="3"/>
  <c r="AU106" i="3"/>
  <c r="DL65" i="3"/>
  <c r="AU109" i="3"/>
  <c r="DL66" i="3"/>
  <c r="AU110" i="3"/>
  <c r="DL64" i="3"/>
  <c r="AU108" i="3"/>
  <c r="DL69" i="3"/>
  <c r="AU113" i="3"/>
  <c r="DL67" i="3"/>
  <c r="AU111" i="3"/>
  <c r="DL61" i="3"/>
  <c r="AU105" i="3"/>
  <c r="DL63" i="3"/>
  <c r="AU107" i="3"/>
  <c r="CD60" i="3"/>
  <c r="CD58" i="3"/>
  <c r="CD62" i="3"/>
  <c r="CD64" i="3"/>
  <c r="CD63" i="3"/>
  <c r="CD66" i="3"/>
  <c r="CD59" i="3"/>
  <c r="CD68" i="3"/>
  <c r="CD69" i="3"/>
  <c r="CD67" i="3"/>
  <c r="CD65" i="3"/>
  <c r="CD61" i="3"/>
  <c r="DL68" i="3"/>
  <c r="AU112" i="3"/>
  <c r="DL58" i="3"/>
  <c r="AU102" i="3"/>
  <c r="CE67" i="3"/>
  <c r="CE68" i="3"/>
  <c r="CE69" i="3"/>
  <c r="DN65" i="3" a="1"/>
  <c r="DN65" i="3"/>
  <c r="CE60" i="3"/>
  <c r="CE59" i="3"/>
  <c r="DN58" i="3" a="1"/>
  <c r="DN58" i="3"/>
  <c r="DM65" i="3"/>
  <c r="DN67" i="3" a="1"/>
  <c r="DN67" i="3"/>
  <c r="DM59" i="3"/>
  <c r="DM58" i="3"/>
  <c r="CE64" i="3"/>
  <c r="DN69" i="3" a="1"/>
  <c r="DN69" i="3"/>
  <c r="CE58" i="3"/>
  <c r="DM69" i="3"/>
  <c r="DM62" i="3"/>
  <c r="DN68" i="3" a="1"/>
  <c r="DN68" i="3"/>
  <c r="DM61" i="3"/>
  <c r="CE66" i="3"/>
  <c r="DM66" i="3"/>
  <c r="DM67" i="3"/>
  <c r="AU101" i="3"/>
  <c r="AV100" i="3"/>
  <c r="DM63" i="3"/>
  <c r="DN66" i="3" a="1"/>
  <c r="DN66" i="3"/>
  <c r="DN60" i="3" a="1"/>
  <c r="DN60" i="3"/>
  <c r="DM68" i="3"/>
  <c r="DN63" i="3" a="1"/>
  <c r="DN63" i="3"/>
  <c r="DM60" i="3"/>
  <c r="CE63" i="3"/>
  <c r="CE61" i="3"/>
  <c r="DN61" i="3" a="1"/>
  <c r="DN61" i="3"/>
  <c r="DM64" i="3"/>
  <c r="DN59" i="3" a="1"/>
  <c r="DN59" i="3"/>
  <c r="CE65" i="3"/>
  <c r="CE62" i="3"/>
  <c r="DN64" i="3" a="1"/>
  <c r="DN64" i="3"/>
  <c r="DN62" i="3" a="1"/>
  <c r="DN62" i="3"/>
  <c r="CF62" i="3"/>
  <c r="BN62" i="3"/>
  <c r="CF61" i="3"/>
  <c r="BN61" i="3"/>
  <c r="CF65" i="3"/>
  <c r="BN65" i="3"/>
  <c r="CF63" i="3"/>
  <c r="BN63" i="3"/>
  <c r="CF66" i="3"/>
  <c r="BN66" i="3"/>
  <c r="CF58" i="3"/>
  <c r="BN58" i="3"/>
  <c r="CF68" i="3"/>
  <c r="BN68" i="3"/>
  <c r="CF67" i="3"/>
  <c r="BN67" i="3"/>
  <c r="CF69" i="3"/>
  <c r="BN69" i="3"/>
  <c r="CF60" i="3"/>
  <c r="BN60" i="3"/>
  <c r="CF59" i="3"/>
  <c r="BN59" i="3"/>
  <c r="CF64" i="3"/>
  <c r="BN64" i="3"/>
  <c r="AL112" i="3"/>
  <c r="AS112" i="3"/>
  <c r="AL105" i="3"/>
  <c r="AO105" i="3"/>
  <c r="AL113" i="3"/>
  <c r="AO113" i="3"/>
  <c r="AL111" i="3"/>
  <c r="AQ111" i="3"/>
  <c r="AL110" i="3"/>
  <c r="AQ110" i="3"/>
  <c r="AL104" i="3"/>
  <c r="AM104" i="3"/>
  <c r="AL107" i="3"/>
  <c r="BF108" i="3"/>
  <c r="AL103" i="3"/>
  <c r="AT103" i="3"/>
  <c r="AL109" i="3"/>
  <c r="AR109" i="3"/>
  <c r="AL102" i="3"/>
  <c r="AT102" i="3"/>
  <c r="AL106" i="3"/>
  <c r="AP106" i="3"/>
  <c r="AL108" i="3"/>
  <c r="AS108" i="3"/>
  <c r="AK109" i="3" a="1"/>
  <c r="AK109" i="3"/>
  <c r="AK112" i="3" a="1"/>
  <c r="AK112" i="3"/>
  <c r="AO112" i="3"/>
  <c r="AM109" i="3"/>
  <c r="AS109" i="3"/>
  <c r="AN112" i="3"/>
  <c r="AN109" i="3"/>
  <c r="AM112" i="3"/>
  <c r="BF110" i="3"/>
  <c r="AO109" i="3"/>
  <c r="AR112" i="3"/>
  <c r="AQ109" i="3"/>
  <c r="AP109" i="3"/>
  <c r="AP112" i="3"/>
  <c r="AT112" i="3"/>
  <c r="AT109" i="3"/>
  <c r="AQ112" i="3"/>
  <c r="AS105" i="3"/>
  <c r="AN113" i="3"/>
  <c r="AK113" i="3" a="1"/>
  <c r="AK113" i="3"/>
  <c r="AR113" i="3"/>
  <c r="AT113" i="3"/>
  <c r="AP113" i="3"/>
  <c r="AK102" i="3" a="1"/>
  <c r="AK102" i="3"/>
  <c r="AQ113" i="3"/>
  <c r="AQ106" i="3"/>
  <c r="AM106" i="3"/>
  <c r="AK111" i="3" a="1"/>
  <c r="AK111" i="3"/>
  <c r="AS110" i="3"/>
  <c r="AK110" i="3" a="1"/>
  <c r="AK110" i="3"/>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c r="AN104" i="3"/>
  <c r="AK104" i="3" a="1"/>
  <c r="AK104" i="3"/>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c r="AK106" i="3" a="1"/>
  <c r="AK106" i="3"/>
  <c r="AS104" i="3"/>
  <c r="AN102" i="3"/>
  <c r="AN107" i="3"/>
  <c r="AO103" i="3"/>
  <c r="BF104" i="3"/>
  <c r="AK107" i="3" a="1"/>
  <c r="AK107" i="3"/>
  <c r="AK103" i="3" a="1"/>
  <c r="AK103" i="3"/>
  <c r="AO107" i="3"/>
  <c r="AR107" i="3"/>
  <c r="AS107" i="3"/>
  <c r="AR111" i="3"/>
  <c r="AT108" i="3"/>
  <c r="AQ102" i="3"/>
  <c r="AN103" i="3"/>
  <c r="AS103" i="3"/>
  <c r="AM103" i="3"/>
  <c r="AP103" i="3"/>
  <c r="AQ103" i="3"/>
  <c r="BG109" i="3"/>
  <c r="BG103" i="3"/>
  <c r="BG105" i="3"/>
  <c r="BG108" i="3"/>
  <c r="BG110" i="3"/>
  <c r="BG107" i="3"/>
  <c r="BG104" i="3"/>
  <c r="BG106" i="3"/>
  <c r="BJ103" i="3"/>
  <c r="BJ110" i="3"/>
  <c r="BJ109" i="3"/>
  <c r="BJ105" i="3"/>
  <c r="BJ108" i="3"/>
  <c r="BJ106" i="3"/>
  <c r="BJ104" i="3"/>
  <c r="BJ107" i="3"/>
  <c r="BI112" i="3"/>
  <c r="B43" i="40"/>
  <c r="B100" i="40"/>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c r="AF113" i="3"/>
  <c r="C158" i="31"/>
  <c r="N102" i="3"/>
  <c r="AF103" i="3"/>
  <c r="C148" i="31"/>
  <c r="N108" i="3"/>
  <c r="AF108" i="3"/>
  <c r="B171" i="31"/>
  <c r="N105" i="3"/>
  <c r="AF106" i="3"/>
  <c r="C169" i="31"/>
  <c r="N115" i="3"/>
  <c r="AF116" i="3"/>
  <c r="AA49" i="45"/>
  <c r="N110" i="3"/>
  <c r="AF109" i="3"/>
  <c r="C172" i="31"/>
  <c r="N107" i="3"/>
  <c r="AF107" i="3"/>
  <c r="N109" i="3"/>
  <c r="AF110" i="3"/>
  <c r="B497" i="40"/>
  <c r="BG124" i="3"/>
  <c r="AZ110" i="3"/>
  <c r="C155" i="31"/>
  <c r="D110" i="3"/>
  <c r="AA34" i="45"/>
  <c r="D107" i="3"/>
  <c r="AA46" i="45"/>
  <c r="B176" i="31"/>
  <c r="C176" i="31"/>
  <c r="AA4" i="45"/>
  <c r="B166" i="31"/>
  <c r="C166" i="31"/>
  <c r="C153" i="31"/>
  <c r="BG121" i="3"/>
  <c r="AZ107" i="3"/>
  <c r="BG118" i="3"/>
  <c r="AZ104" i="3"/>
  <c r="BG117" i="3"/>
  <c r="AZ103" i="3"/>
  <c r="BG122" i="3"/>
  <c r="AZ108" i="3"/>
  <c r="BG123" i="3"/>
  <c r="AZ109" i="3"/>
  <c r="BG120" i="3"/>
  <c r="AZ106" i="3"/>
  <c r="BG119" i="3"/>
  <c r="AZ105" i="3"/>
  <c r="C179" i="31"/>
  <c r="AA37" i="45"/>
  <c r="AA7" i="45"/>
  <c r="C151" i="31"/>
  <c r="B169" i="31"/>
  <c r="C171" i="31"/>
  <c r="C161" i="31"/>
  <c r="B179" i="31"/>
  <c r="C154" i="31"/>
  <c r="C152" i="31"/>
  <c r="AA25" i="45"/>
  <c r="C170" i="31"/>
  <c r="B170" i="31"/>
  <c r="B172" i="31"/>
  <c r="B173" i="31"/>
  <c r="AA22" i="45"/>
  <c r="C173" i="31"/>
  <c r="AG110" i="3"/>
  <c r="M125" i="3"/>
  <c r="AA125" i="3"/>
  <c r="AG107" i="3"/>
  <c r="M123" i="3"/>
  <c r="AA123" i="3"/>
  <c r="D125" i="3"/>
  <c r="C187" i="31"/>
  <c r="B205" i="31"/>
  <c r="C205" i="31"/>
  <c r="AE22" i="45"/>
  <c r="D123" i="3"/>
  <c r="C185" i="31"/>
  <c r="AE34" i="45"/>
  <c r="C203" i="31"/>
  <c r="B203" i="31"/>
  <c r="N132" i="3"/>
  <c r="AF132" i="3"/>
  <c r="AG125" i="3"/>
  <c r="N133" i="3"/>
  <c r="AF133" i="3"/>
  <c r="AG123" i="3"/>
  <c r="C221" i="31"/>
  <c r="C215" i="31"/>
  <c r="B221" i="31"/>
  <c r="AI20" i="45"/>
  <c r="AJ151" i="3"/>
  <c r="AJ155" i="3"/>
  <c r="B222" i="31"/>
  <c r="C222" i="31"/>
  <c r="AI32" i="45"/>
  <c r="C216" i="31"/>
  <c r="BK11" i="45"/>
  <c r="BJ11" i="45"/>
  <c r="BI11" i="45"/>
  <c r="BH11" i="45"/>
  <c r="BK43" i="45"/>
  <c r="BJ43" i="45"/>
  <c r="BI43" i="45"/>
  <c r="BH43" i="45"/>
  <c r="BK36" i="45"/>
  <c r="BJ36" i="45"/>
  <c r="BI36" i="45"/>
  <c r="BH36" i="45"/>
  <c r="BK37" i="45"/>
  <c r="BJ37" i="45"/>
  <c r="BI37" i="45"/>
  <c r="BH37" i="45"/>
  <c r="BK24" i="45"/>
  <c r="BJ24" i="45"/>
  <c r="BI24" i="45"/>
  <c r="BH24" i="45"/>
  <c r="BK45" i="45"/>
  <c r="BJ45" i="45"/>
  <c r="BI45" i="45"/>
  <c r="BH45" i="45"/>
  <c r="BK42" i="45"/>
  <c r="BJ42" i="45"/>
  <c r="BI42" i="45"/>
  <c r="BH42" i="45"/>
  <c r="BK14" i="45"/>
  <c r="BJ14" i="45"/>
  <c r="BI14" i="45"/>
  <c r="BH14" i="45"/>
  <c r="BK18" i="45"/>
  <c r="BJ18" i="45"/>
  <c r="BI18" i="45"/>
  <c r="BH18" i="45"/>
  <c r="BK44" i="45"/>
  <c r="BJ44" i="45"/>
  <c r="BI44" i="45"/>
  <c r="BH44" i="45"/>
  <c r="BK25" i="45"/>
  <c r="BJ25" i="45"/>
  <c r="BI25" i="45"/>
  <c r="BH25" i="45"/>
  <c r="BK31" i="45"/>
  <c r="BJ31" i="45"/>
  <c r="BI31" i="45"/>
  <c r="BH31" i="45"/>
  <c r="BK19" i="45"/>
  <c r="BJ19" i="45"/>
  <c r="BI19" i="45"/>
  <c r="BH19" i="45"/>
  <c r="BK7" i="45"/>
  <c r="BJ7" i="45"/>
  <c r="BI7" i="45"/>
  <c r="BH7" i="45"/>
  <c r="BK34" i="45"/>
  <c r="BJ34" i="45"/>
  <c r="BI34" i="45"/>
  <c r="BH34" i="45"/>
  <c r="BK29" i="45"/>
  <c r="BJ29" i="45"/>
  <c r="BI29" i="45"/>
  <c r="BH29" i="45"/>
  <c r="BK32" i="45"/>
  <c r="BJ32" i="45"/>
  <c r="BI32" i="45"/>
  <c r="BH32" i="45"/>
  <c r="BK5" i="45"/>
  <c r="BJ5" i="45"/>
  <c r="BI5" i="45"/>
  <c r="BH5" i="45"/>
  <c r="BK8" i="45"/>
  <c r="BJ8" i="45"/>
  <c r="BI8" i="45"/>
  <c r="BH8" i="45"/>
  <c r="BK38" i="45"/>
  <c r="BJ38" i="45"/>
  <c r="BI38" i="45"/>
  <c r="BH38" i="45"/>
  <c r="BK47" i="45"/>
  <c r="BJ47" i="45"/>
  <c r="BI47" i="45"/>
  <c r="BH47" i="45"/>
  <c r="BK4" i="45"/>
  <c r="BJ4" i="45"/>
  <c r="BI4" i="45"/>
  <c r="BH4" i="45"/>
  <c r="BK40" i="45"/>
  <c r="BJ40" i="45"/>
  <c r="BI40" i="45"/>
  <c r="BH40" i="45"/>
  <c r="BK10" i="45"/>
  <c r="BJ10" i="45"/>
  <c r="BI10" i="45"/>
  <c r="BH10" i="45"/>
  <c r="BK46" i="45"/>
  <c r="BJ46" i="45"/>
  <c r="BI46" i="45"/>
  <c r="BH46" i="45"/>
  <c r="BK26" i="45"/>
  <c r="BJ26" i="45"/>
  <c r="BI26" i="45"/>
  <c r="BH26" i="45"/>
  <c r="BK48" i="45"/>
  <c r="BJ48" i="45"/>
  <c r="BI48" i="45"/>
  <c r="BH48" i="45"/>
  <c r="BK50" i="45"/>
  <c r="BJ50" i="45"/>
  <c r="BI50" i="45"/>
  <c r="BH50" i="45"/>
  <c r="BK13" i="45"/>
  <c r="BJ13" i="45"/>
  <c r="BI13" i="45"/>
  <c r="BH13" i="45"/>
  <c r="BK28" i="45"/>
  <c r="BJ28" i="45"/>
  <c r="BI28" i="45"/>
  <c r="BH28" i="45"/>
  <c r="BK39" i="45"/>
  <c r="BJ39" i="45"/>
  <c r="BI39" i="45"/>
  <c r="BH39" i="45"/>
  <c r="BK51" i="45"/>
  <c r="BJ51" i="45"/>
  <c r="BI51" i="45"/>
  <c r="BH51" i="45"/>
  <c r="BK23" i="45"/>
  <c r="BJ23" i="45"/>
  <c r="BI23" i="45"/>
  <c r="BH23" i="45"/>
  <c r="BK16" i="45"/>
  <c r="BJ16" i="45"/>
  <c r="BI16" i="45"/>
  <c r="BH16" i="45"/>
  <c r="BK30" i="45"/>
  <c r="BJ30" i="45"/>
  <c r="BI30" i="45"/>
  <c r="BH30" i="45"/>
  <c r="BK27" i="45"/>
  <c r="BJ27" i="45"/>
  <c r="BI27" i="45"/>
  <c r="BH27" i="45"/>
  <c r="BK6" i="45"/>
  <c r="BJ6" i="45"/>
  <c r="BI6" i="45"/>
  <c r="BH6" i="45"/>
  <c r="BK33" i="45"/>
  <c r="BJ33" i="45"/>
  <c r="BI33" i="45"/>
  <c r="BH33" i="45"/>
  <c r="BK49" i="45"/>
  <c r="BJ49" i="45"/>
  <c r="BI49" i="45"/>
  <c r="BH49" i="45"/>
  <c r="BK41" i="45"/>
  <c r="BJ41" i="45"/>
  <c r="BI41" i="45"/>
  <c r="BH41" i="45"/>
  <c r="BK21" i="45"/>
  <c r="BJ21" i="45"/>
  <c r="BI21" i="45"/>
  <c r="BH21" i="45"/>
  <c r="BK35" i="45"/>
  <c r="BJ35" i="45"/>
  <c r="BI35" i="45"/>
  <c r="BH35" i="45"/>
  <c r="BK17" i="45"/>
  <c r="BJ17" i="45"/>
  <c r="BI17" i="45"/>
  <c r="BH17" i="45"/>
  <c r="BK15" i="45"/>
  <c r="BJ15" i="45"/>
  <c r="BI15" i="45"/>
  <c r="BH15" i="45"/>
  <c r="BK22" i="45"/>
  <c r="BJ22" i="45"/>
  <c r="BI22" i="45"/>
  <c r="BH22" i="45"/>
  <c r="BK12" i="45"/>
  <c r="BJ12" i="45"/>
  <c r="BI12" i="45"/>
  <c r="BH12" i="45"/>
  <c r="BK9" i="45"/>
  <c r="BJ9" i="45"/>
  <c r="BI9" i="45"/>
  <c r="BH9" i="45"/>
  <c r="BK20" i="45"/>
  <c r="BJ20" i="45"/>
  <c r="BI20" i="45"/>
  <c r="BH20"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<sst xmlns="http://schemas.openxmlformats.org/spreadsheetml/2006/main" count="6764" uniqueCount="1521">
  <si>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</si>
  <si>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</si>
  <si>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</si>
  <si>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</si>
  <si>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</si>
  <si>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</si>
  <si>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</si>
  <si>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</si>
  <si>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</si>
  <si>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</si>
  <si>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</si>
  <si>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</si>
  <si>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</si>
  <si>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</si>
  <si>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</si>
  <si>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</si>
  <si>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</si>
  <si>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</si>
  <si>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</si>
  <si>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</si>
  <si>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</si>
  <si>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</si>
  <si>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</si>
  <si>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</si>
  <si>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</si>
  <si>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</si>
  <si>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</si>
  <si>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</si>
  <si>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</si>
  <si>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</si>
  <si>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</si>
  <si>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</si>
  <si>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</si>
  <si>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</si>
  <si>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</si>
  <si>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</si>
  <si>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</si>
  <si>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</si>
  <si>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</si>
  <si>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</si>
  <si>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</si>
  <si>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</si>
  <si>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</si>
  <si>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</si>
  <si>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</si>
  <si>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</si>
  <si>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</si>
  <si>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</si>
  <si>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</si>
  <si>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</si>
  <si>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</si>
  <si>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</si>
  <si>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</si>
  <si>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</si>
  <si>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</si>
  <si>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</si>
  <si>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</si>
  <si>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</si>
  <si>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</si>
  <si>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</si>
  <si>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</si>
  <si>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</si>
  <si>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</si>
  <si>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</si>
  <si>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</si>
  <si>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</si>
  <si>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</si>
  <si>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</si>
  <si>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</si>
  <si>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</si>
  <si>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</si>
  <si>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</si>
  <si>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</si>
  <si>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</si>
  <si>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</si>
  <si>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</si>
  <si>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</si>
  <si>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</si>
  <si>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</si>
  <si>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</si>
  <si>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</si>
  <si>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</si>
  <si>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</si>
  <si>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</si>
  <si>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</si>
  <si>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</si>
  <si>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</si>
  <si>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</si>
  <si>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</si>
  <si>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</si>
  <si>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</si>
  <si>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</si>
  <si>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</si>
  <si>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</si>
  <si>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</si>
  <si>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</si>
  <si>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</si>
  <si>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</si>
  <si>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</si>
  <si>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</si>
  <si>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</si>
  <si>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</si>
  <si>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</si>
  <si>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</si>
  <si>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</si>
  <si>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</si>
  <si>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</si>
  <si>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</si>
  <si>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</si>
  <si>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</si>
  <si>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</si>
  <si>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</si>
  <si>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</si>
  <si>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</si>
  <si>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</si>
  <si>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</si>
  <si>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</si>
  <si>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</si>
  <si>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</si>
  <si>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</si>
  <si>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</si>
  <si>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</si>
  <si>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</si>
  <si>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</si>
  <si>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</si>
  <si>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</si>
  <si>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</si>
  <si>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</si>
  <si>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</si>
  <si>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</si>
  <si>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</si>
  <si>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</si>
  <si>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</si>
  <si>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</si>
  <si>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</si>
  <si>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</si>
  <si>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</si>
  <si>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</si>
  <si>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</si>
  <si>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</si>
  <si>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</si>
  <si>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</si>
  <si>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</si>
  <si>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</si>
  <si>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</si>
  <si>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</si>
  <si>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</si>
  <si>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</si>
  <si>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</si>
  <si>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</si>
  <si>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</si>
  <si>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</si>
  <si>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</si>
  <si>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</si>
  <si>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</si>
  <si>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</si>
  <si>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</si>
  <si>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</si>
  <si>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</si>
  <si>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</si>
  <si>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</si>
  <si>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</si>
  <si>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</si>
  <si>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</si>
  <si>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</si>
  <si>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</si>
  <si>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</si>
  <si>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</si>
  <si>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</si>
  <si>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</si>
  <si>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</si>
  <si>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</si>
  <si>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</si>
  <si>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</si>
  <si>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</si>
  <si>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</si>
  <si>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</si>
  <si>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</si>
  <si>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</si>
  <si>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</si>
  <si>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</si>
  <si>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</si>
  <si>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</si>
  <si>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</si>
  <si>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</si>
  <si>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</si>
  <si>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</si>
  <si>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</si>
  <si>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</si>
  <si>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</si>
  <si>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</si>
  <si>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</si>
  <si>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</si>
  <si>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</si>
  <si>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</si>
  <si>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</si>
  <si>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</si>
  <si>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</si>
  <si>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</si>
  <si>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</si>
  <si>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</si>
  <si>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</si>
  <si>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</si>
  <si>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</si>
  <si>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</si>
  <si>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</si>
  <si>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</si>
  <si>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</si>
  <si>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</si>
  <si>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</si>
  <si>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</si>
  <si>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</si>
  <si>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</si>
  <si>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</si>
  <si>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</si>
  <si>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</si>
  <si>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</si>
  <si>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</si>
  <si>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</si>
  <si>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</si>
  <si>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</si>
  <si>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</si>
  <si>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</si>
  <si>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</si>
  <si>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</si>
  <si>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</si>
  <si>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</si>
  <si>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</si>
  <si>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</si>
  <si>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</si>
  <si>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</si>
  <si>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</si>
  <si>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</si>
  <si>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</si>
  <si>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</si>
  <si>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</si>
  <si>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</si>
  <si>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</si>
  <si>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</si>
  <si>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</si>
  <si>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</si>
  <si>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</si>
  <si>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</si>
  <si>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</si>
  <si>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</si>
  <si>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</si>
  <si>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</si>
  <si>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</si>
  <si>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</si>
  <si>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</si>
  <si>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</si>
  <si>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</si>
  <si>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</si>
  <si>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</si>
  <si>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</si>
  <si>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</si>
  <si>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</si>
  <si>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</si>
  <si>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</si>
  <si>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</si>
  <si>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</si>
  <si>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</si>
  <si>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</si>
  <si>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</si>
  <si>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</si>
  <si>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</si>
  <si>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</si>
  <si>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</si>
  <si>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</si>
  <si>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</si>
  <si>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</si>
  <si>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</si>
  <si>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</si>
  <si>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</si>
  <si>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</si>
  <si>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</si>
  <si>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</si>
  <si>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</si>
  <si>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</si>
  <si>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</si>
  <si>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</si>
  <si>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</si>
  <si>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</si>
  <si>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</si>
  <si>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</si>
  <si>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</si>
  <si>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</si>
  <si>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</si>
  <si>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</si>
  <si>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</si>
  <si>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</si>
  <si>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</si>
  <si>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</si>
  <si>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</si>
  <si>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</si>
  <si>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</si>
  <si>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</si>
  <si>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</si>
  <si>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</si>
  <si>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</si>
  <si>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</si>
  <si>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</si>
  <si>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</si>
  <si>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</si>
  <si>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</si>
  <si>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</si>
  <si>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</si>
  <si>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</si>
  <si>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</si>
  <si>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</si>
  <si>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</si>
  <si>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</si>
  <si>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</si>
  <si>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</si>
  <si>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</si>
  <si>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</si>
  <si>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</si>
  <si>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</si>
  <si>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</si>
  <si>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</si>
  <si>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</si>
  <si>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</si>
  <si>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</si>
  <si>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</si>
  <si>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</si>
  <si>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</si>
  <si>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</si>
  <si>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</si>
  <si>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</si>
  <si>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</si>
  <si>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</si>
  <si>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</si>
  <si>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</si>
  <si>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</si>
  <si>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</si>
  <si>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</si>
  <si>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</si>
  <si>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</si>
  <si>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</si>
  <si>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</si>
  <si>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</si>
  <si>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</si>
  <si>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</si>
  <si>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</si>
  <si>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</si>
  <si>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</si>
  <si>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</si>
  <si>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</si>
  <si>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</si>
  <si>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</si>
  <si>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</si>
  <si>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</si>
  <si>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</si>
  <si>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</si>
  <si>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</si>
  <si>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</si>
  <si>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</si>
  <si>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</si>
  <si>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</si>
  <si>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</si>
  <si>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</si>
  <si>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</si>
  <si>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</si>
  <si>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</si>
  <si>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</si>
  <si>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</si>
  <si>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</si>
  <si>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</si>
  <si>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</si>
  <si>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</si>
  <si>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</si>
  <si>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</si>
  <si>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</si>
  <si>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</si>
  <si>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</si>
  <si>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</si>
  <si>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</si>
  <si>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</si>
  <si>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</si>
  <si>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</si>
  <si>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</si>
  <si>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</si>
  <si>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</si>
  <si>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</si>
  <si>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</si>
  <si>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</si>
  <si>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</si>
  <si>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</si>
  <si>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</si>
  <si>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</si>
  <si>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</si>
  <si>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</si>
  <si>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</si>
  <si>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</si>
  <si>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</si>
  <si>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</si>
  <si>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</si>
  <si>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</si>
  <si>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</si>
  <si>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</si>
  <si>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</si>
  <si>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</si>
  <si>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</si>
  <si>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</si>
  <si>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</si>
  <si>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</si>
  <si>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</si>
  <si>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</si>
  <si>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</si>
  <si>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</si>
  <si>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</si>
  <si>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</si>
  <si>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</si>
  <si>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</si>
  <si>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</si>
  <si>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</si>
  <si>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</si>
  <si>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</si>
  <si>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</si>
  <si>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</si>
  <si>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</si>
  <si>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</si>
  <si>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</si>
  <si>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</si>
  <si>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</si>
  <si>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</si>
  <si>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</si>
  <si>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</si>
  <si>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</si>
  <si>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</si>
  <si>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</si>
  <si>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</si>
  <si>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</si>
  <si>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</si>
  <si>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</si>
  <si>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</si>
  <si>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</si>
  <si>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</si>
  <si>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</si>
  <si>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</si>
  <si>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</si>
  <si>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</si>
  <si>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</si>
  <si>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</si>
  <si>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</si>
  <si>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</si>
  <si>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</si>
  <si>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</si>
  <si>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</si>
  <si>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</si>
  <si>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</si>
  <si>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</si>
  <si>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</si>
  <si>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</si>
  <si>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</si>
  <si>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</si>
  <si>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</si>
  <si>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</si>
  <si>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</si>
  <si>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</si>
  <si>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</si>
  <si>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</si>
  <si>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</si>
  <si>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</si>
  <si>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</si>
  <si>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</si>
  <si>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</si>
  <si>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</si>
  <si>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</si>
  <si>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</si>
  <si>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</si>
  <si>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</si>
  <si>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</si>
  <si>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</si>
  <si>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</si>
  <si>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</si>
  <si>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</si>
  <si>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</si>
  <si>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</si>
  <si>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</si>
  <si>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</si>
  <si>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</si>
  <si>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</si>
  <si>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</si>
  <si>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</si>
  <si>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</si>
  <si>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</si>
  <si>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</si>
  <si>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</si>
  <si>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</si>
  <si>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</si>
  <si>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</si>
  <si>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</si>
  <si>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</si>
  <si>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</si>
  <si>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</si>
  <si>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</si>
  <si>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</si>
  <si>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</si>
  <si>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</si>
  <si>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</si>
  <si>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</si>
  <si>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</si>
  <si>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</si>
  <si>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</si>
  <si>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</si>
  <si>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</si>
  <si>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</si>
  <si>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</si>
  <si>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</si>
  <si>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</si>
  <si>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</si>
  <si>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</si>
  <si>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</si>
  <si>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</si>
  <si>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</si>
  <si>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</si>
  <si>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</si>
  <si>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</si>
  <si>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</si>
  <si>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</si>
  <si>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</si>
  <si>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</si>
  <si>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</si>
  <si>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</si>
  <si>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</si>
  <si>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</si>
  <si>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</si>
  <si>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</si>
  <si>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</si>
  <si>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</si>
  <si>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</si>
  <si>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</si>
  <si>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</si>
  <si>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</si>
  <si>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</si>
  <si>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</si>
  <si>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</si>
  <si>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</si>
  <si>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</si>
  <si>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</si>
  <si>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</si>
  <si>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</si>
  <si>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</si>
  <si>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</si>
  <si>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</si>
  <si>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</si>
  <si>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</si>
  <si>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</si>
  <si>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</si>
  <si>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</si>
  <si>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</si>
  <si>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</si>
  <si>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</si>
  <si>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</si>
  <si>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</si>
  <si>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</si>
  <si>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</si>
  <si>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</si>
  <si>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</si>
  <si>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</si>
  <si>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</si>
  <si>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</si>
  <si>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</si>
  <si>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</si>
  <si>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</si>
  <si>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</si>
  <si>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</si>
  <si>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</si>
  <si>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</si>
  <si>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</si>
  <si>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</si>
  <si>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</si>
  <si>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</si>
  <si>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</si>
  <si>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</si>
  <si>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</si>
  <si>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</si>
  <si>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</si>
  <si>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</si>
  <si>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</si>
  <si>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</si>
  <si>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</si>
  <si>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</si>
  <si>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</si>
  <si>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</si>
  <si>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</si>
  <si>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</si>
  <si>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</si>
  <si>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</si>
  <si>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</si>
  <si>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</si>
  <si>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</si>
  <si>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</si>
  <si>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</si>
  <si>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</si>
  <si>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</si>
  <si>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</si>
  <si>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</si>
  <si>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</si>
  <si>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</si>
  <si>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</si>
  <si>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</si>
  <si>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</si>
  <si>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</si>
  <si>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</si>
  <si>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</si>
  <si>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</si>
  <si>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</si>
  <si>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</si>
  <si>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</si>
  <si>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</si>
  <si>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</si>
  <si>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</si>
  <si>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</si>
  <si>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</si>
  <si>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</si>
  <si>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</si>
  <si>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</si>
  <si>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</si>
  <si>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</si>
  <si>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</si>
  <si>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</si>
  <si>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</si>
  <si>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</si>
  <si>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</si>
  <si>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</si>
  <si>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</si>
  <si>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</si>
  <si>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</si>
  <si>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</si>
  <si>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</si>
  <si>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</si>
  <si>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</si>
  <si>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</si>
  <si>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</si>
  <si>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</si>
  <si>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</si>
  <si>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</si>
  <si>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</si>
  <si>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</si>
  <si>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</si>
  <si>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</si>
  <si>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</si>
  <si>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</si>
  <si>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</si>
  <si>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</si>
  <si>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</si>
  <si>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</si>
  <si>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</si>
  <si>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</si>
  <si>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</si>
  <si>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</si>
  <si>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</si>
  <si>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</si>
  <si>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</si>
  <si>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</si>
  <si>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</si>
  <si>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</si>
  <si>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</si>
  <si>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</si>
  <si>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</si>
  <si>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</si>
  <si>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</si>
  <si>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</si>
  <si>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</si>
  <si>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</si>
  <si>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</si>
  <si>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</si>
  <si>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</si>
  <si>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</si>
  <si>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</si>
  <si>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</si>
  <si>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</si>
  <si>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</si>
  <si>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</si>
  <si>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</si>
  <si>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</si>
  <si>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</si>
  <si>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</si>
  <si>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</si>
  <si>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</si>
  <si>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</si>
  <si>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</si>
  <si>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</si>
  <si>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</si>
  <si>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</si>
  <si>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</si>
  <si>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</si>
  <si>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</si>
  <si>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</si>
  <si>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</si>
  <si>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</si>
  <si>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</si>
  <si>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</si>
  <si>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</si>
  <si>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</si>
  <si>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</si>
  <si>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</si>
  <si>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</si>
  <si>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</si>
  <si>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</si>
  <si>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</si>
  <si>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</si>
  <si>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</si>
  <si>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</si>
  <si>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</si>
  <si>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</si>
  <si>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</si>
  <si>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</si>
  <si>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</si>
  <si>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</si>
  <si>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</si>
  <si>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</si>
  <si>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</si>
  <si>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</si>
  <si>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</si>
  <si>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</si>
  <si>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</si>
  <si>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</si>
  <si>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</si>
  <si>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</si>
  <si>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</si>
  <si>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</si>
  <si>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</si>
  <si>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</si>
  <si>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</si>
  <si>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</si>
  <si>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</si>
  <si>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</si>
  <si>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</si>
  <si>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</si>
  <si>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</si>
  <si>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</si>
  <si>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</si>
  <si>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</si>
  <si>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</si>
  <si>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</si>
  <si>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</si>
  <si>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</si>
  <si>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</si>
  <si>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</si>
  <si>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</si>
  <si>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</si>
  <si>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</si>
  <si>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</si>
  <si>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</si>
  <si>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</si>
  <si>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</si>
  <si>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</si>
  <si>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</si>
  <si>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</si>
  <si>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</si>
  <si>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</si>
  <si>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</si>
  <si>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</si>
  <si>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</si>
  <si>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</si>
  <si>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</si>
  <si>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</si>
  <si>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</si>
  <si>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</si>
  <si>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</si>
  <si>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</si>
  <si>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</si>
  <si>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</si>
  <si>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</si>
  <si>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</si>
  <si>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</si>
  <si>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</si>
  <si>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</si>
  <si>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</si>
  <si>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</si>
  <si>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</si>
  <si>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</si>
  <si>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</si>
  <si>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</si>
  <si>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</si>
  <si>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</si>
  <si>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</si>
  <si>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</si>
  <si>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</si>
  <si>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</si>
  <si>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</si>
  <si>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</si>
  <si>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</si>
  <si>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</si>
  <si>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</si>
  <si>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</si>
  <si>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</si>
  <si>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</si>
  <si>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</si>
  <si>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</si>
  <si>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</si>
  <si>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</si>
  <si>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</si>
  <si>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</si>
  <si>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</si>
  <si>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</si>
  <si>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</si>
  <si>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</si>
  <si>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</si>
  <si>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</si>
  <si>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</si>
  <si>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</si>
  <si>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</si>
  <si>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</si>
  <si>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</si>
  <si>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</si>
  <si>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</si>
  <si>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</si>
  <si>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</si>
  <si>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</si>
  <si>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</si>
  <si>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</si>
  <si>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</si>
  <si>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</si>
  <si>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</si>
  <si>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</si>
  <si>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</si>
  <si>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</si>
  <si>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</si>
  <si>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</si>
  <si>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</si>
  <si>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</si>
  <si>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</si>
  <si>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</si>
  <si>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</si>
  <si>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</si>
  <si>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</si>
  <si>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</si>
  <si>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</si>
  <si>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</si>
  <si>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</si>
  <si>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</si>
  <si>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</si>
  <si>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</si>
  <si>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</si>
  <si>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</si>
  <si>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</si>
  <si>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</si>
  <si>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</si>
  <si>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</si>
  <si>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</si>
  <si>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</si>
  <si>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</si>
  <si>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</si>
  <si>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</si>
  <si>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</si>
  <si>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</si>
  <si>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</si>
  <si>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</si>
  <si>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</si>
  <si>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</si>
  <si>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</si>
  <si>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</si>
  <si>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</si>
  <si>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</si>
  <si>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</si>
  <si>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</si>
  <si>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</si>
  <si>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</si>
  <si>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</si>
  <si>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</si>
  <si>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</si>
  <si>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</si>
  <si>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</si>
  <si>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</si>
  <si>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</si>
  <si>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</si>
  <si>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</si>
  <si>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</si>
  <si>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</si>
  <si>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</si>
  <si>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</si>
  <si>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</si>
  <si>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</si>
  <si>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</si>
  <si>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</si>
  <si>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</si>
  <si>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</si>
  <si>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</si>
  <si>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</si>
  <si>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</si>
  <si>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</si>
  <si>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</si>
  <si>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</si>
  <si>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</si>
  <si>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</si>
  <si>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</si>
  <si>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</si>
  <si>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</si>
  <si>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</si>
  <si>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</si>
  <si>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</si>
  <si>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</si>
  <si>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</si>
  <si>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</si>
  <si>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</si>
  <si>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</si>
  <si>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</si>
  <si>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</si>
  <si>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</si>
  <si>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</si>
  <si>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</si>
  <si>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</si>
  <si>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</si>
  <si>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</si>
  <si>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</si>
  <si>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</si>
  <si>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</si>
  <si>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</si>
  <si>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</si>
  <si>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</si>
  <si>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</si>
  <si>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</si>
  <si>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</si>
  <si>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</si>
  <si>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</si>
  <si>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</si>
  <si>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</si>
  <si>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</si>
  <si>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</si>
  <si>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</si>
  <si>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</si>
  <si>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</si>
  <si>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</si>
  <si>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</si>
  <si>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</si>
  <si>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</si>
  <si>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</si>
  <si>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</si>
  <si>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</si>
  <si>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</si>
  <si>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</si>
  <si>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</si>
  <si>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</si>
  <si>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</si>
  <si>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</si>
  <si>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</si>
  <si>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</si>
  <si>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</si>
  <si>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</si>
  <si>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</si>
  <si>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</si>
  <si>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</si>
  <si>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</si>
  <si>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</si>
  <si>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</si>
  <si>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</si>
  <si>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</si>
  <si>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</si>
  <si>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</si>
  <si>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</si>
  <si>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</si>
  <si>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</si>
  <si>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</si>
  <si>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</si>
  <si>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</si>
  <si>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</si>
  <si>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</si>
  <si>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</si>
  <si>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</si>
  <si>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</si>
  <si>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</si>
  <si>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</si>
  <si>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</si>
  <si>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</si>
  <si>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</si>
  <si>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</si>
  <si>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</si>
  <si>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</si>
  <si>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</si>
  <si>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</si>
  <si>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</si>
  <si>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</si>
  <si>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</si>
  <si>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</si>
  <si>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</si>
  <si>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</si>
  <si>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</si>
  <si>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</si>
  <si>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</si>
  <si>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</si>
  <si>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</si>
  <si>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</si>
  <si>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</si>
  <si>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</si>
  <si>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</si>
  <si>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</si>
  <si>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</si>
  <si>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</si>
  <si>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</si>
  <si>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</si>
  <si>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</si>
  <si>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</si>
  <si>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</si>
  <si>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</si>
  <si>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</si>
  <si>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</si>
  <si>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</si>
  <si>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</si>
  <si>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</si>
  <si>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</si>
  <si>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</si>
  <si>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</si>
  <si>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</si>
  <si>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</si>
  <si>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</si>
  <si>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</si>
  <si>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</si>
  <si>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</si>
  <si>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</si>
  <si>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</si>
  <si>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</si>
  <si>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</si>
  <si>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</si>
  <si>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</si>
  <si>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</si>
  <si>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</si>
  <si>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</si>
  <si>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</si>
  <si>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</si>
  <si>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</si>
  <si>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</si>
  <si>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</si>
  <si>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</si>
  <si>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</si>
  <si>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</si>
  <si>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</si>
  <si>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</si>
  <si>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</si>
  <si>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</si>
  <si>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</si>
  <si>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</si>
  <si>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</si>
  <si>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</si>
  <si>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</si>
  <si>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</si>
  <si>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</si>
  <si>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</si>
  <si>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</si>
  <si>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</si>
  <si>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</si>
  <si>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</si>
  <si>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</si>
  <si>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</si>
  <si>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</si>
  <si>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</si>
  <si>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</si>
  <si>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</si>
  <si>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</si>
  <si>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</si>
  <si>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</si>
  <si>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</si>
  <si>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</si>
  <si>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</si>
  <si>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</si>
  <si>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</si>
  <si>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</si>
  <si>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</si>
  <si>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</si>
  <si>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</si>
  <si>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</si>
  <si>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</si>
  <si>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</si>
  <si>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</si>
  <si>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</si>
  <si>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</si>
  <si>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</si>
  <si>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</si>
  <si>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</si>
  <si>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</si>
  <si>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</si>
  <si>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</si>
  <si>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</si>
  <si>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</si>
  <si>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</si>
  <si>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</si>
  <si>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</si>
  <si>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</si>
  <si>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</si>
  <si>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</si>
  <si>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</si>
  <si>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</si>
  <si>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</si>
  <si>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</si>
  <si>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</si>
  <si>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</si>
  <si>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</si>
  <si>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</si>
  <si>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</si>
  <si>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</si>
  <si>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</si>
  <si>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</si>
  <si>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</si>
  <si>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</si>
  <si>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</si>
  <si>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</si>
  <si>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</si>
  <si>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</si>
  <si>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</si>
  <si>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</si>
  <si>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</si>
  <si>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</si>
  <si>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</si>
  <si>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</si>
  <si>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</si>
  <si>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</si>
  <si>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</si>
  <si>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</si>
  <si>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</si>
  <si>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</si>
  <si>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</si>
  <si>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</si>
  <si>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</si>
  <si>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</si>
  <si>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</si>
  <si>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</si>
  <si>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</si>
  <si>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</si>
  <si>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</si>
  <si>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</si>
  <si>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</si>
  <si>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</si>
  <si>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</si>
  <si>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</si>
  <si>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</si>
  <si>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</si>
  <si>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</si>
  <si>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</si>
  <si>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</si>
  <si>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</si>
  <si>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</si>
  <si>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</si>
  <si>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</si>
  <si>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</si>
  <si>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</si>
  <si>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</si>
  <si>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</si>
  <si>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</si>
  <si>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</si>
  <si>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</si>
  <si>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</si>
  <si>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</si>
  <si>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</si>
  <si>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</si>
  <si>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</si>
  <si>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</si>
  <si>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</si>
  <si>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</si>
  <si>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</si>
  <si>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</si>
  <si>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</si>
  <si>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</si>
  <si>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</si>
  <si>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</si>
  <si>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</si>
  <si>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</si>
  <si>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</si>
  <si>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</si>
  <si>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</si>
  <si>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</si>
  <si>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</si>
  <si>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</si>
  <si>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</si>
  <si>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</si>
  <si>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</si>
  <si>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</si>
  <si>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</si>
  <si>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</si>
  <si>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</si>
  <si>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</si>
  <si>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</si>
  <si>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</si>
  <si>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</si>
  <si>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</si>
  <si>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</si>
  <si>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</si>
  <si>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</si>
  <si>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</si>
  <si>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</si>
  <si>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</si>
  <si>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</si>
  <si>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</si>
  <si>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</si>
  <si>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</si>
  <si>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</si>
  <si>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</si>
  <si>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</si>
  <si>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</si>
  <si>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</si>
  <si>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</si>
  <si>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</si>
  <si>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</si>
  <si>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</si>
  <si>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</si>
  <si>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</si>
  <si>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</si>
  <si>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</si>
  <si>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</si>
  <si>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</si>
  <si>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</si>
  <si>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</si>
  <si>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</si>
  <si>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</si>
  <si>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</si>
  <si>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</si>
  <si>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</si>
  <si>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</si>
  <si>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</si>
  <si>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</si>
  <si>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</si>
  <si>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</si>
  <si>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</si>
  <si>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</si>
  <si>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</si>
  <si>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</si>
  <si>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</si>
  <si>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</si>
  <si>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</si>
  <si>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</si>
  <si>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</si>
  <si>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</si>
  <si>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</si>
  <si>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</si>
  <si>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</si>
  <si>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</si>
  <si>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</si>
  <si>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</si>
  <si>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</si>
  <si>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</si>
  <si>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</si>
  <si>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</si>
  <si>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</si>
  <si>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</si>
  <si>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</si>
  <si>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</si>
  <si>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</si>
  <si>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</si>
  <si>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</si>
  <si>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</si>
  <si>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</si>
  <si>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</si>
  <si>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</si>
  <si>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</si>
  <si>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</si>
  <si>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</si>
  <si>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</si>
  <si>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</si>
  <si>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</si>
  <si>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</si>
  <si>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</si>
  <si>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</si>
  <si>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</si>
  <si>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</si>
  <si>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</si>
  <si>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</si>
  <si>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</si>
  <si>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</si>
  <si>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</si>
  <si>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</si>
  <si>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</si>
  <si>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</si>
  <si>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</si>
  <si>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</si>
  <si>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</si>
  <si>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</si>
  <si>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</si>
  <si>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</si>
  <si>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</si>
  <si>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</si>
  <si>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</si>
  <si>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</si>
  <si>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</si>
  <si>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</si>
  <si>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</si>
  <si>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</si>
  <si>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</si>
  <si>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</si>
  <si>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</si>
  <si>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</si>
  <si>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</si>
  <si>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</si>
  <si>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</si>
  <si>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</si>
  <si>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</si>
  <si>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</si>
  <si>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</si>
  <si>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</si>
  <si>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</si>
  <si>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</si>
  <si>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</si>
  <si>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</si>
  <si>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</si>
  <si>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</si>
  <si>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</si>
  <si>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</si>
  <si>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</si>
  <si>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</si>
  <si>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</si>
  <si>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</si>
  <si>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</si>
  <si>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</si>
  <si>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</si>
  <si>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</si>
  <si>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</si>
  <si>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</si>
  <si>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</si>
  <si>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</si>
  <si>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</si>
  <si>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</si>
  <si>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</si>
  <si>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</si>
  <si>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</si>
  <si>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</si>
  <si>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</si>
  <si>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</si>
  <si>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</si>
  <si>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</si>
  <si>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</si>
  <si>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</si>
  <si>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</si>
  <si>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</si>
  <si>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</si>
  <si>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</si>
  <si>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</si>
  <si>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</si>
  <si>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</si>
  <si>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</si>
  <si>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</si>
  <si>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</si>
  <si>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</si>
  <si>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</si>
  <si>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</si>
  <si>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</si>
  <si>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</si>
  <si>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</si>
  <si>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</si>
  <si>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</si>
  <si>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</si>
  <si>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</si>
  <si>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</si>
  <si>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</si>
  <si>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</si>
  <si>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</si>
  <si>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</si>
  <si>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</si>
  <si>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</si>
  <si>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</si>
  <si>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</si>
  <si>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</si>
  <si>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</si>
  <si>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</si>
  <si>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</si>
  <si>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</si>
  <si>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</si>
  <si>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</si>
  <si>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</si>
  <si>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</si>
  <si>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</si>
  <si>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</si>
  <si>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</si>
  <si>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</si>
  <si>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</si>
  <si>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</si>
  <si>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</si>
  <si>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</si>
  <si>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</si>
  <si>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</si>
  <si>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</si>
  <si>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</si>
  <si>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</si>
  <si>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</si>
  <si>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</si>
  <si>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</si>
  <si>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</si>
  <si>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</si>
  <si>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</si>
  <si>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</si>
  <si>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</si>
  <si>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</si>
  <si>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</si>
  <si>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</si>
  <si>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</si>
  <si>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</si>
  <si>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</si>
  <si>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</si>
  <si>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</si>
  <si>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</si>
  <si>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</si>
  <si>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</si>
  <si>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</si>
  <si>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</si>
  <si>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</si>
  <si>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</si>
  <si>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</si>
  <si>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</si>
  <si>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</si>
  <si>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</si>
  <si>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</si>
  <si>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</si>
  <si>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</si>
  <si>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</si>
  <si>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</si>
  <si>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</si>
  <si>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</si>
  <si>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</si>
  <si>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</si>
  <si>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</si>
  <si>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</si>
  <si>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</si>
  <si>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</si>
  <si>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</si>
  <si>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</si>
  <si>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</si>
  <si>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</si>
  <si>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</si>
  <si>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</si>
  <si>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</si>
  <si>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</si>
  <si>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</si>
  <si>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</si>
  <si>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</si>
  <si>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</si>
  <si>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</si>
  <si>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</si>
  <si>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</si>
  <si>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</si>
  <si>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</si>
  <si>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</si>
  <si>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</si>
  <si>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</si>
  <si>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</si>
  <si>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</si>
  <si>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</si>
  <si>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</si>
  <si>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</si>
  <si>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</si>
  <si>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</si>
  <si>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</si>
  <si>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</si>
  <si>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</si>
  <si>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</si>
  <si>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</si>
  <si>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</si>
  <si>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</si>
  <si>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</si>
  <si>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</si>
  <si>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</si>
  <si>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</si>
  <si>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</si>
  <si>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</si>
  <si>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</si>
  <si>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</si>
  <si>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</si>
  <si>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</si>
  <si>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</si>
  <si>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</si>
  <si>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</si>
  <si>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</si>
  <si>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</si>
  <si>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</si>
  <si>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</si>
  <si>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</si>
  <si>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</si>
  <si>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</si>
  <si>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</si>
  <si>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</si>
  <si>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</si>
  <si>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</si>
  <si>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</si>
  <si>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</si>
  <si>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</si>
  <si>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</si>
  <si>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</si>
  <si>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</si>
  <si>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</si>
  <si>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</si>
  <si>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</si>
  <si>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</si>
  <si>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</si>
  <si>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</si>
  <si>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</si>
  <si>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</si>
  <si>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</si>
  <si>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</si>
  <si>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</si>
  <si>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</si>
  <si>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</si>
  <si>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</si>
  <si>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</si>
  <si>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</si>
  <si>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</si>
  <si>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</si>
  <si>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</si>
  <si>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</si>
  <si>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</si>
  <si>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</si>
  <si>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</si>
  <si>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</si>
  <si>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</si>
  <si>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</si>
  <si>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</si>
  <si>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</si>
  <si>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</si>
  <si>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</si>
  <si>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</si>
  <si>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</si>
  <si>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</si>
  <si>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</si>
  <si>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</si>
  <si>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</si>
  <si>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</si>
  <si>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</si>
  <si>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</si>
  <si>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8pi</t>
  </si>
  <si>
    <t>Mbappe</t>
  </si>
  <si>
    <t>Messi</t>
  </si>
  <si>
    <t>Vinicius</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</si>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</sst>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3" builtinId="8" hidden="1"/>
    <cellStyle name="Hipervínculo" xfId="1" builtinId="8" hidden="1"/>
    <cellStyle name="Hipervínculo" xfId="7" builtinId="8" hidden="1"/>
    <cellStyle name="Hipervínculo" xfId="11" builtinId="8" hidden="1"/>
    <cellStyle name="Hipervínculo" xfId="15" builtinId="8" hidden="1"/>
    <cellStyle name="Hipervínculo" xfId="19" builtinId="8" hidden="1"/>
    <cellStyle name="Hipervínculo" xfId="13" builtinId="8" hidden="1"/>
    <cellStyle name="Hipervínculo" xfId="5" builtinId="8" hidden="1"/>
    <cellStyle name="Hipervínculo" xfId="17" builtinId="8" hidden="1"/>
    <cellStyle name="Hipervínculo" xfId="21" builtinId="8" hidden="1"/>
    <cellStyle name="Hipervínculo" xfId="9" builtinId="8" hidden="1"/>
    <cellStyle name="Hipervínculo" xfId="25" builtinId="8" hidden="1"/>
    <cellStyle name="Hipervínculo" xfId="23" builtinId="8" hidden="1"/>
    <cellStyle name="Hipervínculo" xfId="27" builtinId="8"/>
    <cellStyle name="Hipervínculo 2" xfId="94" xr:uid="{008C30FC-4EBF-9B4A-9B7C-80AE025592FE}"/>
    <cellStyle name="Hipervínculo visitado" xfId="57" builtinId="9" hidden="1"/>
    <cellStyle name="Hipervínculo visitado" xfId="60" builtinId="9" hidden="1"/>
    <cellStyle name="Hipervínculo visitado" xfId="58" builtinId="9" hidden="1"/>
    <cellStyle name="Hipervínculo visitado" xfId="50" builtinId="9" hidden="1"/>
    <cellStyle name="Hipervínculo visitado" xfId="42" builtinId="9" hidden="1"/>
    <cellStyle name="Hipervínculo visitado" xfId="34" builtinId="9" hidden="1"/>
    <cellStyle name="Hipervínculo visitado" xfId="14" builtinId="9" hidden="1"/>
    <cellStyle name="Hipervínculo visitado" xfId="20" builtinId="9" hidden="1"/>
    <cellStyle name="Hipervínculo visitado" xfId="24" builtinId="9" hidden="1"/>
    <cellStyle name="Hipervínculo visitado" xfId="28" builtinId="9" hidden="1"/>
    <cellStyle name="Hipervínculo visitado" xfId="16" builtinId="9" hidden="1"/>
    <cellStyle name="Hipervínculo visitado" xfId="10" builtinId="9" hidden="1"/>
    <cellStyle name="Hipervínculo visitado" xfId="4" builtinId="9" hidden="1"/>
    <cellStyle name="Hipervínculo visitado" xfId="2" builtinId="9" hidden="1"/>
    <cellStyle name="Hipervínculo visitado" xfId="6" builtinId="9" hidden="1"/>
    <cellStyle name="Hipervínculo visitado" xfId="12" builtinId="9" hidden="1"/>
    <cellStyle name="Hipervínculo visitado" xfId="8" builtinId="9" hidden="1"/>
    <cellStyle name="Hipervínculo visitado" xfId="29" builtinId="9" hidden="1"/>
    <cellStyle name="Hipervínculo visitado" xfId="26" builtinId="9" hidden="1"/>
    <cellStyle name="Hipervínculo visitado" xfId="22" builtinId="9" hidden="1"/>
    <cellStyle name="Hipervínculo visitado" xfId="18" builtinId="9" hidden="1"/>
    <cellStyle name="Hipervínculo visitado" xfId="30" builtinId="9" hidden="1"/>
    <cellStyle name="Hipervínculo visitado" xfId="38" builtinId="9" hidden="1"/>
    <cellStyle name="Hipervínculo visitado" xfId="46" builtinId="9" hidden="1"/>
    <cellStyle name="Hipervínculo visitado" xfId="54" builtinId="9" hidden="1"/>
    <cellStyle name="Hipervínculo visitado" xfId="61" builtinId="9" hidden="1"/>
    <cellStyle name="Hipervínculo visitado" xfId="59" builtinId="9" hidden="1"/>
    <cellStyle name="Hipervínculo visitado" xfId="56" builtinId="9" hidden="1"/>
    <cellStyle name="Hipervínculo visitado" xfId="84" builtinId="9" hidden="1"/>
    <cellStyle name="Hipervínculo visitado" xfId="82" builtinId="9" hidden="1"/>
    <cellStyle name="Hipervínculo visitado" xfId="80" builtinId="9" hidden="1"/>
    <cellStyle name="Hipervínculo visitado" xfId="76" builtinId="9" hidden="1"/>
    <cellStyle name="Hipervínculo visitado" xfId="74" builtinId="9" hidden="1"/>
    <cellStyle name="Hipervínculo visitado" xfId="72" builtinId="9" hidden="1"/>
    <cellStyle name="Hipervínculo visitado" xfId="68" builtinId="9" hidden="1"/>
    <cellStyle name="Hipervínculo visitado" xfId="66" builtinId="9" hidden="1"/>
    <cellStyle name="Hipervínculo visitado" xfId="64" builtinId="9" hidden="1"/>
    <cellStyle name="Hipervínculo visitado" xfId="31" builtinId="9" hidden="1"/>
    <cellStyle name="Hipervínculo visitado" xfId="32" builtinId="9" hidden="1"/>
    <cellStyle name="Hipervínculo visitado" xfId="33" builtinId="9" hidden="1"/>
    <cellStyle name="Hipervínculo visitado" xfId="36" builtinId="9" hidden="1"/>
    <cellStyle name="Hipervínculo visitado" xfId="37" builtinId="9" hidden="1"/>
    <cellStyle name="Hipervínculo visitado" xfId="39" builtinId="9" hidden="1"/>
    <cellStyle name="Hipervínculo visitado" xfId="41" builtinId="9" hidden="1"/>
    <cellStyle name="Hipervínculo visitado" xfId="43" builtinId="9" hidden="1"/>
    <cellStyle name="Hipervínculo visitado" xfId="44" builtinId="9" hidden="1"/>
    <cellStyle name="Hipervínculo visitado" xfId="47" builtinId="9" hidden="1"/>
    <cellStyle name="Hipervínculo visitado" xfId="48" builtinId="9" hidden="1"/>
    <cellStyle name="Hipervínculo visitado" xfId="49" builtinId="9" hidden="1"/>
    <cellStyle name="Hipervínculo visitado" xfId="52" builtinId="9" hidden="1"/>
    <cellStyle name="Hipervínculo visitado" xfId="53" builtinId="9" hidden="1"/>
    <cellStyle name="Hipervínculo visitado" xfId="55" builtinId="9" hidden="1"/>
    <cellStyle name="Hipervínculo visitado" xfId="51" builtinId="9" hidden="1"/>
    <cellStyle name="Hipervínculo visitado" xfId="45" builtinId="9" hidden="1"/>
    <cellStyle name="Hipervínculo visitado" xfId="40" builtinId="9" hidden="1"/>
    <cellStyle name="Hipervínculo visitado" xfId="35" builtinId="9" hidden="1"/>
    <cellStyle name="Hipervínculo visitado" xfId="62" builtinId="9" hidden="1"/>
    <cellStyle name="Hipervínculo visitado" xfId="70" builtinId="9" hidden="1"/>
    <cellStyle name="Hipervínculo visitado" xfId="78" builtinId="9" hidden="1"/>
    <cellStyle name="Hipervínculo visitado" xfId="86" builtinId="9" hidden="1"/>
    <cellStyle name="Hipervínculo visitado" xfId="75"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88" builtinId="9" hidden="1"/>
    <cellStyle name="Hipervínculo visitado" xfId="77" builtinId="9" hidden="1"/>
    <cellStyle name="Hipervínculo visitado" xfId="69" builtinId="9" hidden="1"/>
    <cellStyle name="Hipervínculo visitado" xfId="71" builtinId="9" hidden="1"/>
    <cellStyle name="Hipervínculo visitado" xfId="73" builtinId="9" hidden="1"/>
    <cellStyle name="Hipervínculo visitado" xfId="65" builtinId="9" hidden="1"/>
    <cellStyle name="Hipervínculo visitado" xfId="67" builtinId="9" hidden="1"/>
    <cellStyle name="Hipervínculo visitado" xfId="63"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eetMetadata" Target="metadata.xml" /><Relationship Id="rId18" Type="http://schemas.microsoft.com/office/2022/10/relationships/richValueRel" Target="richData/richValueRel.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17" Type="http://schemas.openxmlformats.org/officeDocument/2006/relationships/calcChain" Target="calcChain.xml" /><Relationship Id="rId2" Type="http://schemas.openxmlformats.org/officeDocument/2006/relationships/worksheet" Target="worksheets/sheet2.xml" /><Relationship Id="rId16" Type="http://schemas.microsoft.com/office/2017/06/relationships/rdRichValueTypes" Target="richData/rdRichValueTyp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5" Type="http://schemas.microsoft.com/office/2017/06/relationships/rdRichValueStructure" Target="richData/rdrichvaluestructure.xm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17/06/relationships/rdRichValue" Target="richData/rdrichvalue.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 /><Relationship Id="rId18" Type="http://schemas.openxmlformats.org/officeDocument/2006/relationships/image" Target="../media/image18.png" /><Relationship Id="rId26" Type="http://schemas.openxmlformats.org/officeDocument/2006/relationships/image" Target="../media/image26.png" /><Relationship Id="rId39" Type="http://schemas.openxmlformats.org/officeDocument/2006/relationships/image" Target="../media/image39.png" /><Relationship Id="rId21" Type="http://schemas.openxmlformats.org/officeDocument/2006/relationships/image" Target="../media/image21.png" /><Relationship Id="rId34" Type="http://schemas.openxmlformats.org/officeDocument/2006/relationships/image" Target="../media/image34.png" /><Relationship Id="rId42" Type="http://schemas.openxmlformats.org/officeDocument/2006/relationships/image" Target="../media/image42.png" /><Relationship Id="rId47" Type="http://schemas.openxmlformats.org/officeDocument/2006/relationships/image" Target="../media/image47.png" /><Relationship Id="rId50" Type="http://schemas.openxmlformats.org/officeDocument/2006/relationships/image" Target="../media/image50.png" /><Relationship Id="rId3" Type="http://schemas.openxmlformats.org/officeDocument/2006/relationships/image" Target="../media/image3.png" /><Relationship Id="rId7" Type="http://schemas.openxmlformats.org/officeDocument/2006/relationships/image" Target="../media/image7.png" /><Relationship Id="rId12" Type="http://schemas.openxmlformats.org/officeDocument/2006/relationships/image" Target="../media/image12.png" /><Relationship Id="rId17" Type="http://schemas.openxmlformats.org/officeDocument/2006/relationships/image" Target="../media/image17.png" /><Relationship Id="rId25" Type="http://schemas.openxmlformats.org/officeDocument/2006/relationships/image" Target="../media/image25.png" /><Relationship Id="rId33" Type="http://schemas.openxmlformats.org/officeDocument/2006/relationships/image" Target="../media/image33.png" /><Relationship Id="rId38" Type="http://schemas.openxmlformats.org/officeDocument/2006/relationships/image" Target="../media/image38.png" /><Relationship Id="rId46" Type="http://schemas.openxmlformats.org/officeDocument/2006/relationships/image" Target="../media/image46.png" /><Relationship Id="rId2" Type="http://schemas.openxmlformats.org/officeDocument/2006/relationships/image" Target="../media/image2.png" /><Relationship Id="rId16" Type="http://schemas.openxmlformats.org/officeDocument/2006/relationships/image" Target="../media/image16.png" /><Relationship Id="rId29" Type="http://schemas.openxmlformats.org/officeDocument/2006/relationships/image" Target="../media/image29.png" /><Relationship Id="rId20" Type="http://schemas.openxmlformats.org/officeDocument/2006/relationships/image" Target="../media/image20.png" /><Relationship Id="rId41" Type="http://schemas.openxmlformats.org/officeDocument/2006/relationships/image" Target="../media/image41.png" /><Relationship Id="rId11" Type="http://schemas.openxmlformats.org/officeDocument/2006/relationships/image" Target="../media/image11.png" /><Relationship Id="rId24" Type="http://schemas.openxmlformats.org/officeDocument/2006/relationships/image" Target="../media/image24.png" /><Relationship Id="rId32" Type="http://schemas.openxmlformats.org/officeDocument/2006/relationships/image" Target="../media/image32.png" /><Relationship Id="rId37" Type="http://schemas.openxmlformats.org/officeDocument/2006/relationships/image" Target="../media/image37.png" /><Relationship Id="rId40" Type="http://schemas.openxmlformats.org/officeDocument/2006/relationships/image" Target="../media/image40.png" /><Relationship Id="rId45" Type="http://schemas.openxmlformats.org/officeDocument/2006/relationships/image" Target="../media/image45.png" /><Relationship Id="rId1" Type="http://schemas.openxmlformats.org/officeDocument/2006/relationships/image" Target="../media/image110.png" /><Relationship Id="rId6" Type="http://schemas.openxmlformats.org/officeDocument/2006/relationships/image" Target="../media/image6.png" /><Relationship Id="rId5" Type="http://schemas.openxmlformats.org/officeDocument/2006/relationships/image" Target="../media/image5.png" /><Relationship Id="rId15" Type="http://schemas.openxmlformats.org/officeDocument/2006/relationships/image" Target="../media/image15.png" /><Relationship Id="rId23" Type="http://schemas.openxmlformats.org/officeDocument/2006/relationships/image" Target="../media/image23.png" /><Relationship Id="rId28" Type="http://schemas.openxmlformats.org/officeDocument/2006/relationships/image" Target="../media/image28.png" /><Relationship Id="rId36" Type="http://schemas.openxmlformats.org/officeDocument/2006/relationships/image" Target="../media/image36.png" /><Relationship Id="rId49" Type="http://schemas.openxmlformats.org/officeDocument/2006/relationships/image" Target="../media/image49.png" /><Relationship Id="rId10" Type="http://schemas.openxmlformats.org/officeDocument/2006/relationships/image" Target="../media/image10.png" /><Relationship Id="rId19" Type="http://schemas.openxmlformats.org/officeDocument/2006/relationships/image" Target="../media/image19.png" /><Relationship Id="rId31" Type="http://schemas.openxmlformats.org/officeDocument/2006/relationships/image" Target="../media/image31.png" /><Relationship Id="rId44" Type="http://schemas.openxmlformats.org/officeDocument/2006/relationships/image" Target="../media/image44.png" /><Relationship Id="rId4" Type="http://schemas.openxmlformats.org/officeDocument/2006/relationships/image" Target="../media/image4.png" /><Relationship Id="rId9" Type="http://schemas.openxmlformats.org/officeDocument/2006/relationships/image" Target="../media/image9.png" /><Relationship Id="rId14" Type="http://schemas.openxmlformats.org/officeDocument/2006/relationships/image" Target="../media/image14.png" /><Relationship Id="rId22" Type="http://schemas.openxmlformats.org/officeDocument/2006/relationships/image" Target="../media/image22.png" /><Relationship Id="rId27" Type="http://schemas.openxmlformats.org/officeDocument/2006/relationships/image" Target="../media/image27.png" /><Relationship Id="rId30" Type="http://schemas.openxmlformats.org/officeDocument/2006/relationships/image" Target="../media/image30.png" /><Relationship Id="rId35" Type="http://schemas.openxmlformats.org/officeDocument/2006/relationships/image" Target="../media/image35.png" /><Relationship Id="rId43" Type="http://schemas.openxmlformats.org/officeDocument/2006/relationships/image" Target="../media/image43.png" /><Relationship Id="rId48" Type="http://schemas.openxmlformats.org/officeDocument/2006/relationships/image" Target="../media/image48.png" /><Relationship Id="rId8" Type="http://schemas.openxmlformats.org/officeDocument/2006/relationships/image" Target="../media/image8.png" /><Relationship Id="rId51" Type="http://schemas.openxmlformats.org/officeDocument/2006/relationships/image" Target="../media/image51.png" /></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26</v>
    <v>5</v>
  </rv>
  <rv s="1">
    <v>48</v>
    <v>6</v>
  </rv>
  <rv s="1">
    <v>49</v>
    <v>5</v>
  </rv>
  <rv s="1">
    <v>50</v>
    <v>5</v>
  </rv>
  <rv s="1">
    <v>16</v>
    <v>5</v>
  </rv>
  <rv s="1">
    <v>30</v>
    <v>5</v>
  </rv>
  <rv s="1">
    <v>37</v>
    <v>5</v>
  </rv>
  <rv s="1">
    <v>36</v>
    <v>5</v>
  </rv>
  <rv s="1">
    <v>14</v>
    <v>5</v>
  </rv>
  <rv s="1">
    <v>38</v>
    <v>5</v>
  </rv>
  <rv s="1">
    <v>24</v>
    <v>5</v>
  </rv>
  <rv s="1">
    <v>8</v>
    <v>5</v>
  </rv>
  <rv s="1">
    <v>29</v>
    <v>5</v>
  </rv>
  <rv s="1">
    <v>4</v>
    <v>5</v>
  </rv>
  <rv s="1">
    <v>6</v>
    <v>5</v>
  </rv>
  <rv s="1">
    <v>43</v>
    <v>5</v>
  </rv>
  <rv s="1">
    <v>2</v>
    <v>5</v>
  </rv>
  <rv s="1">
    <v>18</v>
    <v>5</v>
  </rv>
  <rv s="1">
    <v>45</v>
    <v>5</v>
  </rv>
  <rv s="1">
    <v>17</v>
    <v>5</v>
  </rv>
  <rv s="1">
    <v>19</v>
    <v>5</v>
  </rv>
  <rv s="1">
    <v>25</v>
    <v>5</v>
  </rv>
  <rv s="1">
    <v>11</v>
    <v>5</v>
  </rv>
  <rv s="1">
    <v>28</v>
    <v>5</v>
  </rv>
  <rv s="1">
    <v>12</v>
    <v>5</v>
  </rv>
  <rv s="1">
    <v>32</v>
    <v>5</v>
  </rv>
  <rv s="1">
    <v>46</v>
    <v>5</v>
  </rv>
  <rv s="1">
    <v>10</v>
    <v>5</v>
  </rv>
  <rv s="1">
    <v>44</v>
    <v>5</v>
  </rv>
  <rv s="1">
    <v>26</v>
    <v>4</v>
  </rv>
  <rv s="1">
    <v>21</v>
    <v>5</v>
  </rv>
  <rv s="1">
    <v>39</v>
    <v>5</v>
  </rv>
  <rv s="1">
    <v>9</v>
    <v>5</v>
  </rv>
  <rv s="1">
    <v>0</v>
    <v>5</v>
  </rv>
  <rv s="1">
    <v>35</v>
    <v>5</v>
  </rv>
  <rv s="1">
    <v>27</v>
    <v>5</v>
  </rv>
  <rv s="1">
    <v>20</v>
    <v>5</v>
  </rv>
  <rv s="1">
    <v>47</v>
    <v>5</v>
  </rv>
  <rv s="1">
    <v>13</v>
    <v>5</v>
  </rv>
  <rv s="1">
    <v>40</v>
    <v>5</v>
  </rv>
  <rv s="1">
    <v>33</v>
    <v>5</v>
  </rv>
  <rv s="1">
    <v>1</v>
    <v>5</v>
  </rv>
  <rv s="1">
    <v>7</v>
    <v>5</v>
  </rv>
  <rv s="1">
    <v>23</v>
    <v>5</v>
  </rv>
  <rv s="1">
    <v>31</v>
    <v>5</v>
  </rv>
  <rv s="1">
    <v>42</v>
    <v>5</v>
  </rv>
  <rv s="2">
    <v>41</v>
    <v>5</v>
    <v>Bandera de República Democrática del Congo</v>
  </rv>
  <rv s="2">
    <v>34</v>
    <v>5</v>
    <v>Bandera de Irak</v>
  </rv>
  <rv s="1">
    <v>5</v>
    <v>5</v>
  </rv>
  <rv s="1">
    <v>22</v>
    <v>5</v>
  </rv>
  <rv s="1">
    <v>15</v>
    <v>5</v>
  </rv>
  <rv s="1">
    <v>3</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 /><Relationship Id="rId3" Type="http://schemas.openxmlformats.org/officeDocument/2006/relationships/hyperlink" Target="https://wa.me/?text=Te%20env%C3%ADo%20el%20Excel%20del%20Mundial%202026%20para%20descargarlo%3A%20https%3A%2F%2Fmatejero.es%2Fexcel-porra-mundial%2F" TargetMode="External" /><Relationship Id="rId7" Type="http://schemas.openxmlformats.org/officeDocument/2006/relationships/hyperlink" Target="https://youtu.be/Vh--XEkQDFg" TargetMode="External" /><Relationship Id="rId2" Type="http://schemas.openxmlformats.org/officeDocument/2006/relationships/hyperlink" Target="https://twitter.com/intent/tweet?text=Acabo%20de%20descargar%20el%20Excel%20del%20Mundial%202026.%20https%3A%2F%2Fmatejero.es%2Fexcel-porra-mundial%2F" TargetMode="External" /><Relationship Id="rId1" Type="http://schemas.openxmlformats.org/officeDocument/2006/relationships/hyperlink" Target="https://t.me/share/url?url=https%3A%2F%2Fmatejero.es%2Fexcel-porra-mundial%2F&amp;text=Te%20env%C3%ADo%20el%20Excel%20del%20Mundial%202026%20para%20descargarlo" TargetMode="External" /><Relationship Id="rId6" Type="http://schemas.openxmlformats.org/officeDocument/2006/relationships/hyperlink" Target="https://www.paypal.com/donate?business=PJ2B6ZBH7ZHR4&amp;currency_code=EUR" TargetMode="External" /><Relationship Id="rId5" Type="http://schemas.openxmlformats.org/officeDocument/2006/relationships/hyperlink" Target="mailto:?subject=Excel%20Mundial%202026&amp;body=Te%20env%C3%ADo%20el%20Excel%20del%20Mundial%202026%20para%20descargarlo%3A%20https%3A%2F%2Fmatejero.es%2Fexcel-porra-mundial%2F" TargetMode="External" /><Relationship Id="rId4" Type="http://schemas.openxmlformats.org/officeDocument/2006/relationships/hyperlink" Target="https://www.linkedin.com/sharing/share-offsite/?url=https%3A%2F%2Fmatejero.es%2Fexcel-porra-mundial%2F" TargetMode="External" /><Relationship Id="rId9"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 /><Relationship Id="rId2" Type="http://schemas.openxmlformats.org/officeDocument/2006/relationships/hyperlink" Target="https://www.paypal.com/donate?business=PJ2B6ZBH7ZHR4&amp;currency_code=EUR" TargetMode="External" /><Relationship Id="rId1" Type="http://schemas.openxmlformats.org/officeDocument/2006/relationships/hyperlink" Target="https://www.linkedin.com/in/matejero" TargetMode="External" /><Relationship Id="rId4" Type="http://schemas.openxmlformats.org/officeDocument/2006/relationships/printerSettings" Target="../printerSettings/printerSettings2.bin" /></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 /><Relationship Id="rId3" Type="http://schemas.openxmlformats.org/officeDocument/2006/relationships/hyperlink" Target="https://matejero.es/calendario-excel-liga/" TargetMode="External" /><Relationship Id="rId7" Type="http://schemas.openxmlformats.org/officeDocument/2006/relationships/hyperlink" Target="https://matejero.es/download/administrador-excel-mundial-2026/" TargetMode="External" /><Relationship Id="rId12" Type="http://schemas.openxmlformats.org/officeDocument/2006/relationships/hyperlink" Target="https://youtu.be/Vh--XEkQDFg" TargetMode="External" /><Relationship Id="rId2" Type="http://schemas.openxmlformats.org/officeDocument/2006/relationships/hyperlink" Target="https://matejero.es/calendario-excel-liga/" TargetMode="External" /><Relationship Id="rId1" Type="http://schemas.openxmlformats.org/officeDocument/2006/relationships/hyperlink" Target="https://www.linkedin.com/in/matejero" TargetMode="External" /><Relationship Id="rId6" Type="http://schemas.openxmlformats.org/officeDocument/2006/relationships/hyperlink" Target="https://matejero.com/download/admin-world-cup-2026/" TargetMode="External" /><Relationship Id="rId11" Type="http://schemas.openxmlformats.org/officeDocument/2006/relationships/hyperlink" Target="https://www.matejero.com/" TargetMode="External" /><Relationship Id="rId5" Type="http://schemas.openxmlformats.org/officeDocument/2006/relationships/hyperlink" Target="https://matejero.es/excel-copa-libertadores/" TargetMode="External" /><Relationship Id="rId10" Type="http://schemas.openxmlformats.org/officeDocument/2006/relationships/hyperlink" Target="https://www.matejero.es/" TargetMode="External" /><Relationship Id="rId4" Type="http://schemas.openxmlformats.org/officeDocument/2006/relationships/hyperlink" Target="https://matejero.com/premier-league-excel-schedule/" TargetMode="External" /><Relationship Id="rId9" Type="http://schemas.openxmlformats.org/officeDocument/2006/relationships/hyperlink" Target="https://matejero.es/excel-champions-league/" TargetMode="External" /></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8984375" style="299" customWidth="1"/>
    <col min="2" max="2" width="15.87109375" style="299" customWidth="1"/>
    <col min="3" max="3" width="26.90234375" style="299" customWidth="1"/>
    <col min="4" max="4" width="5.91796875" style="299" customWidth="1"/>
    <col min="5" max="9" width="11.296875" style="319" customWidth="1"/>
    <col min="10" max="10" width="5.91796875" style="319" customWidth="1"/>
    <col min="11" max="11" width="26.90234375" style="319" customWidth="1"/>
    <col min="12" max="12" width="15.87109375" style="299" customWidth="1"/>
    <col min="13" max="13" width="10.35546875" style="299" customWidth="1"/>
    <col min="14" max="15" width="10.89453125" style="299" customWidth="1"/>
    <col min="16" max="16" width="12.10546875" style="299" customWidth="1"/>
    <col min="17" max="17" width="6.1875" style="299" customWidth="1"/>
    <col min="18" max="31" width="10.89453125" style="299" customWidth="1"/>
    <col min="32" max="16384" width="10.8945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x14ac:dyDescent="0.2">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x14ac:dyDescent="0.25">
      <c r="A8" s="298"/>
      <c r="B8" s="19"/>
      <c r="C8" s="289" t="s">
        <v>507</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x14ac:dyDescent="0.25">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x14ac:dyDescent="0.25">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A145" zoomScale="90" zoomScaleNormal="90" workbookViewId="0">
      <selection activeCell="AA160" sqref="AA160"/>
      <extLst>
        <ext xmlns:xlsdti="http://schemas.microsoft.com/office/spreadsheetml/2023/showDataTypeIcons" uri="{77bfe23e-c014-4d31-8a63-9c772dbf06b6}">
          <xlsdti:showDataTypeIcons visible="0"/>
        </ext>
      </extLst>
    </sheetView>
  </sheetViews>
  <sheetFormatPr defaultColWidth="0" defaultRowHeight="15" x14ac:dyDescent="0.2"/>
  <cols>
    <col min="1" max="2" width="10.89453125" hidden="1" customWidth="1"/>
    <col min="3" max="3" width="2.15234375" hidden="1" customWidth="1"/>
    <col min="4" max="10" width="8.875" hidden="1" customWidth="1"/>
    <col min="11" max="11" width="12.9140625" hidden="1" customWidth="1"/>
    <col min="12" max="14" width="8.875" hidden="1" customWidth="1"/>
    <col min="15" max="15" width="16.94921875" hidden="1" customWidth="1"/>
    <col min="16" max="21" width="8.875" hidden="1" customWidth="1"/>
    <col min="22" max="22" width="3.359375" customWidth="1"/>
    <col min="23" max="23" width="6.72265625" customWidth="1"/>
    <col min="24" max="24" width="11.8359375" customWidth="1"/>
    <col min="25" max="25" width="6.859375" customWidth="1"/>
    <col min="26" max="26" width="5.109375" customWidth="1"/>
    <col min="27" max="27" width="20.84765625" customWidth="1"/>
    <col min="28" max="28" width="3.2265625" customWidth="1"/>
    <col min="29" max="30" width="5.24609375" customWidth="1"/>
    <col min="31" max="31" width="3.2265625" customWidth="1"/>
    <col min="32" max="32" width="20.84765625" customWidth="1"/>
    <col min="33" max="33" width="3.359375" customWidth="1"/>
    <col min="34" max="34" width="5.109375" style="187" customWidth="1"/>
    <col min="35" max="35" width="3.2265625" style="187" customWidth="1"/>
    <col min="36" max="36" width="4.3046875" customWidth="1"/>
    <col min="37" max="37" width="3.2265625" customWidth="1"/>
    <col min="38" max="38" width="20.84765625" customWidth="1"/>
    <col min="39" max="39" width="5.91796875" customWidth="1"/>
    <col min="40" max="43" width="4.3046875" customWidth="1"/>
    <col min="44" max="45" width="4.70703125" customWidth="1"/>
    <col min="46" max="46" width="4.83984375" customWidth="1"/>
    <col min="47" max="47" width="3.2265625" style="190" customWidth="1"/>
    <col min="48" max="48" width="18.4296875" style="194" customWidth="1"/>
    <col min="49" max="49" width="3.359375" style="7" customWidth="1"/>
    <col min="50" max="50" width="3.359375" style="4" customWidth="1"/>
    <col min="51" max="51" width="19.7734375" style="15" customWidth="1"/>
    <col min="52" max="52" width="15.87109375" style="7" customWidth="1"/>
    <col min="53" max="53" width="2.95703125" customWidth="1"/>
    <col min="54" max="54" width="11.02734375" hidden="1" customWidth="1"/>
    <col min="55" max="55" width="6.05078125" hidden="1" customWidth="1"/>
    <col min="56" max="56" width="16.94921875" hidden="1" customWidth="1"/>
    <col min="57" max="57" width="9.28125" hidden="1" customWidth="1"/>
    <col min="58" max="58" width="2.15234375" hidden="1" customWidth="1"/>
    <col min="59" max="59" width="8.33984375" hidden="1" customWidth="1"/>
    <col min="60" max="60" width="2.15234375" hidden="1" customWidth="1"/>
    <col min="61" max="61" width="2.41796875" hidden="1" customWidth="1"/>
    <col min="62" max="62" width="8.203125" hidden="1" customWidth="1"/>
    <col min="63" max="63" width="4.83984375" hidden="1" customWidth="1"/>
    <col min="64" max="64" width="5.91796875" hidden="1" customWidth="1"/>
    <col min="65" max="66" width="5.6484375" hidden="1" customWidth="1"/>
    <col min="67" max="69" width="9.953125" hidden="1" customWidth="1"/>
    <col min="70" max="71" width="7.26171875" hidden="1" customWidth="1"/>
    <col min="72" max="100" width="7.93359375" hidden="1" customWidth="1"/>
    <col min="101" max="101" width="4.16796875" hidden="1" customWidth="1"/>
    <col min="102" max="102" width="7.26171875" hidden="1" customWidth="1"/>
    <col min="103" max="103" width="0" hidden="1" customWidth="1"/>
    <col min="104" max="104" width="3.09375" hidden="1" customWidth="1"/>
    <col min="105" max="105" width="8.7421875" hidden="1" customWidth="1"/>
    <col min="106" max="106" width="7.93359375" hidden="1" customWidth="1"/>
    <col min="107" max="107" width="15.87109375" hidden="1" customWidth="1"/>
    <col min="108" max="108" width="11.02734375" hidden="1" customWidth="1"/>
    <col min="109" max="109" width="2.6875" hidden="1" customWidth="1"/>
    <col min="110" max="112" width="11.02734375" hidden="1" customWidth="1"/>
    <col min="113" max="113" width="0" hidden="1" customWidth="1"/>
    <col min="114" max="116" width="11.02734375" hidden="1" customWidth="1"/>
    <col min="117" max="117" width="0" hidden="1" customWidth="1"/>
    <col min="118" max="118" width="17.890625" hidden="1" customWidth="1"/>
    <col min="119" max="119" width="10.89453125" hidden="1" customWidth="1"/>
    <col min="120" max="120" width="11.02734375" hidden="1" customWidth="1"/>
    <col min="121" max="123" width="10.89453125" hidden="1" customWidth="1"/>
    <col min="124" max="124" width="0" hidden="1" customWidth="1"/>
    <col min="125" max="16384" width="10.8945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46184.625</v>
      </c>
      <c r="Y4" s="25">
        <f ca="1">Horarios!C4</f>
        <v>46184.625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46184.916666666664</v>
      </c>
      <c r="Y5" s="25">
        <f ca="1">Horarios!C5</f>
        <v>46184.916666666664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46191.5</v>
      </c>
      <c r="Y6" s="25">
        <f ca="1">Horarios!C6</f>
        <v>46191.5</v>
      </c>
      <c r="Z6" s="26" t="str">
        <f>Idiomas!D62</f>
        <v>J2</v>
      </c>
      <c r="AA6" s="27" t="str">
        <f ca="1">A8</f>
        <v>República Checa</v>
      </c>
      <c r="AB6" s="49" t="str" cm="1">
        <f t="array" aca="1" ref="AB6" ca="1">Ver_flag_local</f>
        <v/>
      </c>
      <c r="AC6" s="50">
        <v>1</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46191.875</v>
      </c>
      <c r="Y7" s="25">
        <f ca="1">Horarios!C7</f>
        <v>46191.875</v>
      </c>
      <c r="Z7" s="26" t="str">
        <f>$Z$6</f>
        <v>J2</v>
      </c>
      <c r="AA7" s="27" t="str">
        <f ca="1">A5</f>
        <v>México</v>
      </c>
      <c r="AB7" s="49" t="str" cm="1">
        <f t="array" aca="1" ref="AB7" ca="1">Ver_flag_local</f>
        <v/>
      </c>
      <c r="AC7" s="50">
        <v>1</v>
      </c>
      <c r="AD7" s="51">
        <v>0</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5.95"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46197.875</v>
      </c>
      <c r="Y8" s="25">
        <f ca="1">Horarios!C8</f>
        <v>46197.875</v>
      </c>
      <c r="Z8" s="26" t="str">
        <f>Idiomas!D63</f>
        <v>J3</v>
      </c>
      <c r="AA8" s="27" t="str">
        <f ca="1">A8</f>
        <v>República Checa</v>
      </c>
      <c r="AB8" s="49" t="str" cm="1">
        <f t="array" aca="1" ref="AB8" ca="1">Ver_flag_local</f>
        <v/>
      </c>
      <c r="AC8" s="50">
        <v>0</v>
      </c>
      <c r="AD8" s="51">
        <v>3</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46197.875</v>
      </c>
      <c r="Y9" s="29">
        <f ca="1">Horarios!C9</f>
        <v>46197.875</v>
      </c>
      <c r="Z9" s="30" t="str">
        <f>$Z$8</f>
        <v>J3</v>
      </c>
      <c r="AA9" s="31" t="str">
        <f ca="1">A6</f>
        <v>Sudáfrica</v>
      </c>
      <c r="AB9" s="52" t="str" cm="1">
        <f t="array" aca="1" ref="AB9" ca="1">Ver_flag_local</f>
        <v/>
      </c>
      <c r="AC9" s="53">
        <v>1</v>
      </c>
      <c r="AD9" s="54">
        <v>0</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5.95"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70" t="s">
        <v>1</v>
      </c>
      <c r="X12" s="24">
        <f ca="1">Horarios!C12</f>
        <v>46185.625</v>
      </c>
      <c r="Y12" s="25">
        <f ca="1">Horarios!C12</f>
        <v>46185.625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46186.625</v>
      </c>
      <c r="Y13" s="25">
        <f ca="1">Horarios!C13</f>
        <v>46186.625</v>
      </c>
      <c r="Z13" s="26" t="str">
        <f>$Z$4</f>
        <v>J1</v>
      </c>
      <c r="AA13" s="27" t="str">
        <f ca="1">A15</f>
        <v>Catar</v>
      </c>
      <c r="AB13" s="49" t="str" cm="1">
        <f t="array" aca="1" ref="AB13" ca="1">Ver_flag_local</f>
        <v/>
      </c>
      <c r="AC13" s="50">
        <v>1</v>
      </c>
      <c r="AD13" s="51">
        <v>1</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70"/>
      <c r="X14" s="24">
        <f ca="1">Horarios!C14</f>
        <v>46191.625</v>
      </c>
      <c r="Y14" s="25">
        <f ca="1">Horarios!C14</f>
        <v>46191.625</v>
      </c>
      <c r="Z14" s="26" t="str">
        <f>$Z$6</f>
        <v>J2</v>
      </c>
      <c r="AA14" s="27" t="str">
        <f ca="1">A16</f>
        <v>Suiza</v>
      </c>
      <c r="AB14" s="49" t="str" cm="1">
        <f t="array" aca="1" ref="AB14" ca="1">Ver_flag_local</f>
        <v/>
      </c>
      <c r="AC14" s="50">
        <v>4</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70"/>
      <c r="X15" s="24">
        <f ca="1">Horarios!C15</f>
        <v>46191.75</v>
      </c>
      <c r="Y15" s="25">
        <f ca="1">Horarios!C15</f>
        <v>46191.75</v>
      </c>
      <c r="Z15" s="26" t="str">
        <f>$Z$6</f>
        <v>J2</v>
      </c>
      <c r="AA15" s="27" t="str">
        <f ca="1">A13</f>
        <v>Canadá</v>
      </c>
      <c r="AB15" s="49" t="str" cm="1">
        <f t="array" aca="1" ref="AB15" ca="1">Ver_flag_local</f>
        <v/>
      </c>
      <c r="AC15" s="50">
        <v>6</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70"/>
      <c r="X16" s="24">
        <f ca="1">Horarios!C16</f>
        <v>46197.625</v>
      </c>
      <c r="Y16" s="25">
        <f ca="1">Horarios!C16</f>
        <v>46197.625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71"/>
      <c r="X17" s="28">
        <f ca="1">Horarios!C17</f>
        <v>46197.625</v>
      </c>
      <c r="Y17" s="29">
        <f ca="1">Horarios!C17</f>
        <v>46197.625</v>
      </c>
      <c r="Z17" s="30" t="str">
        <f>$Z$8</f>
        <v>J3</v>
      </c>
      <c r="AA17" s="31" t="str">
        <f ca="1">A14</f>
        <v>Bosnia y Herzegovina</v>
      </c>
      <c r="AB17" s="52" t="str" cm="1">
        <f t="array" aca="1" ref="AB17" ca="1">Ver_flag_local</f>
        <v/>
      </c>
      <c r="AC17" s="53">
        <v>3</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5.95"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46186.75</v>
      </c>
      <c r="Y20" s="25">
        <f ca="1">Horarios!C20</f>
        <v>46186.75</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46186.875</v>
      </c>
      <c r="Y21" s="25">
        <f ca="1">Horarios!C21</f>
        <v>46186.875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5.95"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46192.75</v>
      </c>
      <c r="Y22" s="25">
        <f ca="1">Horarios!C22</f>
        <v>46192.75</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46192.854166666664</v>
      </c>
      <c r="Y23" s="25">
        <f ca="1">Horarios!C23</f>
        <v>46192.854166666664</v>
      </c>
      <c r="Z23" s="26" t="str">
        <f>$Z$6</f>
        <v>J2</v>
      </c>
      <c r="AA23" s="27" t="str">
        <f ca="1">A21</f>
        <v>Brasil</v>
      </c>
      <c r="AB23" s="49" t="str" cm="1">
        <f t="array" aca="1" ref="AB23" ca="1">Ver_flag_local</f>
        <v/>
      </c>
      <c r="AC23" s="50">
        <v>3</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46197.75</v>
      </c>
      <c r="Y24" s="25">
        <f ca="1">Horarios!C24</f>
        <v>46197.75</v>
      </c>
      <c r="Z24" s="26" t="str">
        <f>$Z$8</f>
        <v>J3</v>
      </c>
      <c r="AA24" s="27" t="str">
        <f ca="1">A24</f>
        <v>Escocia</v>
      </c>
      <c r="AB24" s="49" t="str" cm="1">
        <f t="array" aca="1" ref="AB24" ca="1">Ver_flag_local</f>
        <v/>
      </c>
      <c r="AC24" s="50">
        <v>0</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46197.75</v>
      </c>
      <c r="Y25" s="29">
        <f ca="1">Horarios!C25</f>
        <v>46197.75</v>
      </c>
      <c r="Z25" s="30" t="str">
        <f>$Z$8</f>
        <v>J3</v>
      </c>
      <c r="AA25" s="31" t="str">
        <f ca="1">A22</f>
        <v>Marruecos</v>
      </c>
      <c r="AB25" s="52" t="str" cm="1">
        <f t="array" aca="1" ref="AB25" ca="1">Ver_flag_local</f>
        <v/>
      </c>
      <c r="AC25" s="53">
        <v>4</v>
      </c>
      <c r="AD25" s="54">
        <v>2</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81" t="s">
        <v>74</v>
      </c>
      <c r="X28" s="24">
        <f ca="1">Horarios!C28</f>
        <v>46185.875</v>
      </c>
      <c r="Y28" s="25">
        <f ca="1">Horarios!C28</f>
        <v>46185.875</v>
      </c>
      <c r="Z28" s="26" t="str">
        <f>$Z$4</f>
        <v>J1</v>
      </c>
      <c r="AA28" s="27" t="str">
        <f ca="1">A29</f>
        <v>Estados Unidos</v>
      </c>
      <c r="AB28" s="49" t="str" cm="1">
        <f t="array" aca="1" ref="AB28" ca="1">Ver_flag_local</f>
        <v/>
      </c>
      <c r="AC28" s="50">
        <v>4</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81"/>
      <c r="X29" s="24">
        <f ca="1">Horarios!C29</f>
        <v>46187</v>
      </c>
      <c r="Y29" s="25">
        <f ca="1">Horarios!C29</f>
        <v>46187</v>
      </c>
      <c r="Z29" s="26" t="str">
        <f>$Z$4</f>
        <v>J1</v>
      </c>
      <c r="AA29" s="27" t="str">
        <f ca="1">A31</f>
        <v>Australia</v>
      </c>
      <c r="AB29" s="49" t="str" cm="1">
        <f t="array" aca="1" ref="AB29" ca="1">Ver_flag_local</f>
        <v/>
      </c>
      <c r="AC29" s="50">
        <v>2</v>
      </c>
      <c r="AD29" s="51">
        <v>0</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81"/>
      <c r="X30" s="24">
        <f ca="1">Horarios!C30</f>
        <v>46192.625</v>
      </c>
      <c r="Y30" s="25">
        <f ca="1">Horarios!C30</f>
        <v>46192.625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81"/>
      <c r="X31" s="24">
        <f ca="1">Horarios!C31</f>
        <v>46192.958333333336</v>
      </c>
      <c r="Y31" s="25">
        <f ca="1">Horarios!C31</f>
        <v>46192.958333333336</v>
      </c>
      <c r="Z31" s="26" t="str">
        <f>$Z$6</f>
        <v>J2</v>
      </c>
      <c r="AA31" s="27" t="str">
        <f ca="1">A32</f>
        <v>Turquía</v>
      </c>
      <c r="AB31" s="49" t="str" cm="1">
        <f t="array" aca="1" ref="AB31" ca="1">Ver_flag_local</f>
        <v/>
      </c>
      <c r="AC31" s="50">
        <v>0</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46198.916666666664</v>
      </c>
      <c r="Y32" s="25">
        <f ca="1">Horarios!C32</f>
        <v>46198.916666666664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82"/>
      <c r="X33" s="28">
        <f ca="1">Horarios!C33</f>
        <v>46198.916666666664</v>
      </c>
      <c r="Y33" s="29">
        <f ca="1">Horarios!C33</f>
        <v>46198.916666666664</v>
      </c>
      <c r="Z33" s="30" t="str">
        <f>$Z$8</f>
        <v>J3</v>
      </c>
      <c r="AA33" s="31" t="str">
        <f ca="1">A30</f>
        <v>Paraguay</v>
      </c>
      <c r="AB33" s="52" t="str" cm="1">
        <f t="array" aca="1" ref="AB33" ca="1">Ver_flag_local</f>
        <v/>
      </c>
      <c r="AC33" s="53">
        <v>0</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5.95"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46187.541666666664</v>
      </c>
      <c r="Y36" s="25">
        <f ca="1">Horarios!C36</f>
        <v>46187.541666666664</v>
      </c>
      <c r="Z36" s="26" t="str">
        <f>$Z$4</f>
        <v>J1</v>
      </c>
      <c r="AA36" s="27" t="str">
        <f ca="1">A37</f>
        <v>Alemania</v>
      </c>
      <c r="AB36" s="49" t="str" cm="1">
        <f t="array" aca="1" ref="AB36" ca="1">Ver_flag_local</f>
        <v/>
      </c>
      <c r="AC36" s="50">
        <v>7</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5.95"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46187.791666666664</v>
      </c>
      <c r="Y37" s="25">
        <f ca="1">Horarios!C37</f>
        <v>46187.791666666664</v>
      </c>
      <c r="Z37" s="26" t="str">
        <f>$Z$4</f>
        <v>J1</v>
      </c>
      <c r="AA37" s="27" t="str">
        <f ca="1">A39</f>
        <v>Costa de Marfil</v>
      </c>
      <c r="AB37" s="49" t="str" cm="1">
        <f t="array" aca="1" ref="AB37" ca="1">Ver_flag_local</f>
        <v/>
      </c>
      <c r="AC37" s="50">
        <v>1</v>
      </c>
      <c r="AD37" s="51">
        <v>0</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5.95"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46193.666666666664</v>
      </c>
      <c r="Y38" s="25">
        <f ca="1">Horarios!C38</f>
        <v>46193.666666666664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46193.833333333336</v>
      </c>
      <c r="Y39" s="25">
        <f ca="1">Horarios!C39</f>
        <v>46193.833333333336</v>
      </c>
      <c r="Z39" s="26" t="str">
        <f>$Z$6</f>
        <v>J2</v>
      </c>
      <c r="AA39" s="27" t="str">
        <f ca="1">A40</f>
        <v>Ecuador</v>
      </c>
      <c r="AB39" s="49" t="str" cm="1">
        <f t="array" aca="1" ref="AB39" ca="1">Ver_flag_local</f>
        <v/>
      </c>
      <c r="AC39" s="50">
        <v>0</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46198.666666666664</v>
      </c>
      <c r="Y40" s="25">
        <f ca="1">Horarios!C40</f>
        <v>46198.666666666664</v>
      </c>
      <c r="Z40" s="26" t="str">
        <f>$Z$8</f>
        <v>J3</v>
      </c>
      <c r="AA40" s="27" t="str">
        <f ca="1">A38</f>
        <v>Curazao</v>
      </c>
      <c r="AB40" s="49" t="str" cm="1">
        <f t="array" aca="1" ref="AB40" ca="1">Ver_flag_local</f>
        <v/>
      </c>
      <c r="AC40" s="50">
        <v>0</v>
      </c>
      <c r="AD40" s="51">
        <v>2</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46198.666666666664</v>
      </c>
      <c r="Y41" s="29">
        <f ca="1">Horarios!C41</f>
        <v>46198.666666666664</v>
      </c>
      <c r="Z41" s="30" t="str">
        <f>$Z$8</f>
        <v>J3</v>
      </c>
      <c r="AA41" s="31" t="str">
        <f ca="1">A40</f>
        <v>Ecuador</v>
      </c>
      <c r="AB41" s="52" t="str" cm="1">
        <f t="array" aca="1" ref="AB41" ca="1">Ver_flag_local</f>
        <v/>
      </c>
      <c r="AC41" s="53">
        <v>2</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46187.666666666664</v>
      </c>
      <c r="Y44" s="25">
        <f ca="1">Horarios!C44</f>
        <v>46187.666666666664</v>
      </c>
      <c r="Z44" s="26" t="str">
        <f>$Z$4</f>
        <v>J1</v>
      </c>
      <c r="AA44" s="27" t="str">
        <f ca="1">A45</f>
        <v>Países Bajos</v>
      </c>
      <c r="AB44" s="49" t="str" cm="1">
        <f t="array" aca="1" ref="AB44" ca="1">Ver_flag_local</f>
        <v/>
      </c>
      <c r="AC44" s="50">
        <v>2</v>
      </c>
      <c r="AD44" s="51">
        <v>2</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46187.916666666664</v>
      </c>
      <c r="Y45" s="25">
        <f ca="1">Horarios!C45</f>
        <v>46187.916666666664</v>
      </c>
      <c r="Z45" s="26" t="str">
        <f>$Z$4</f>
        <v>J1</v>
      </c>
      <c r="AA45" s="27" t="str">
        <f ca="1">A47</f>
        <v>Suecia</v>
      </c>
      <c r="AB45" s="49" t="str" cm="1">
        <f t="array" aca="1" ref="AB45" ca="1">Ver_flag_local</f>
        <v/>
      </c>
      <c r="AC45" s="50">
        <v>5</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46193.541666666664</v>
      </c>
      <c r="Y46" s="25">
        <f ca="1">Horarios!C46</f>
        <v>46193.541666666664</v>
      </c>
      <c r="Z46" s="26" t="str">
        <f>$Z$6</f>
        <v>J2</v>
      </c>
      <c r="AA46" s="27" t="str">
        <f ca="1">A45</f>
        <v>Países Bajos</v>
      </c>
      <c r="AB46" s="49" t="str" cm="1">
        <f t="array" aca="1" ref="AB46" ca="1">Ver_flag_local</f>
        <v/>
      </c>
      <c r="AC46" s="50">
        <v>5</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5.95"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v>
      </c>
      <c r="Y47" s="25">
        <f ca="1">Horarios!C47</f>
        <v>46194</v>
      </c>
      <c r="Z47" s="26" t="str">
        <f>$Z$6</f>
        <v>J2</v>
      </c>
      <c r="AA47" s="27" t="str">
        <f ca="1">A48</f>
        <v>Túnez</v>
      </c>
      <c r="AB47" s="49" t="str" cm="1">
        <f t="array" aca="1" ref="AB47" ca="1">Ver_flag_local</f>
        <v/>
      </c>
      <c r="AC47" s="50">
        <v>0</v>
      </c>
      <c r="AD47" s="51">
        <v>4</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5.95"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46198.791666666664</v>
      </c>
      <c r="Y48" s="25">
        <f ca="1">Horarios!C48</f>
        <v>46198.791666666664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46198.791666666664</v>
      </c>
      <c r="Y49" s="29">
        <f ca="1">Horarios!C49</f>
        <v>46198.791666666664</v>
      </c>
      <c r="Z49" s="30" t="str">
        <f>$Z$8</f>
        <v>J3</v>
      </c>
      <c r="AA49" s="31" t="str">
        <f ca="1">A48</f>
        <v>Túnez</v>
      </c>
      <c r="AB49" s="52" t="str" cm="1">
        <f t="array" aca="1" ref="AB49" ca="1">Ver_flag_local</f>
        <v/>
      </c>
      <c r="AC49" s="53">
        <v>1</v>
      </c>
      <c r="AD49" s="54">
        <v>3</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5.95"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66" t="s">
        <v>6</v>
      </c>
      <c r="X52" s="24">
        <f ca="1">Horarios!C52</f>
        <v>46188.625</v>
      </c>
      <c r="Y52" s="25">
        <f ca="1">Horarios!C52</f>
        <v>46188.625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46188.875</v>
      </c>
      <c r="Y53" s="25">
        <f ca="1">Horarios!C53</f>
        <v>46188.875</v>
      </c>
      <c r="Z53" s="26" t="str">
        <f>$Z$4</f>
        <v>J1</v>
      </c>
      <c r="AA53" s="27" t="str">
        <f ca="1">A55</f>
        <v>Irán</v>
      </c>
      <c r="AB53" s="49" t="str" cm="1">
        <f t="array" aca="1" ref="AB53" ca="1">Ver_flag_local</f>
        <v/>
      </c>
      <c r="AC53" s="50">
        <v>2</v>
      </c>
      <c r="AD53" s="51">
        <v>2</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4</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66"/>
      <c r="X54" s="24">
        <f ca="1">Horarios!C54</f>
        <v>46194.625</v>
      </c>
      <c r="Y54" s="25">
        <f ca="1">Horarios!C54</f>
        <v>46194.625</v>
      </c>
      <c r="Z54" s="26" t="str">
        <f>$Z$6</f>
        <v>J2</v>
      </c>
      <c r="AA54" s="27" t="str">
        <f ca="1">A53</f>
        <v>Bélgica</v>
      </c>
      <c r="AB54" s="49" t="str" cm="1">
        <f t="array" aca="1" ref="AB54" ca="1">Ver_flag_local</f>
        <v/>
      </c>
      <c r="AC54" s="50">
        <v>0</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66"/>
      <c r="X55" s="24">
        <f ca="1">Horarios!C55</f>
        <v>46194.875</v>
      </c>
      <c r="Y55" s="25">
        <f ca="1">Horarios!C55</f>
        <v>46194.875</v>
      </c>
      <c r="Z55" s="26" t="str">
        <f>$Z$6</f>
        <v>J2</v>
      </c>
      <c r="AA55" s="27" t="str">
        <f ca="1">A56</f>
        <v>Nueva Zelanda</v>
      </c>
      <c r="AB55" s="49" t="str" cm="1">
        <f t="array" aca="1" ref="AB55" ca="1">Ver_flag_local</f>
        <v/>
      </c>
      <c r="AC55" s="50">
        <v>1</v>
      </c>
      <c r="AD55" s="51">
        <v>3</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5.95"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66"/>
      <c r="X56" s="24">
        <f ca="1">Horarios!C56</f>
        <v>46199.958333333336</v>
      </c>
      <c r="Y56" s="25">
        <f ca="1">Horarios!C56</f>
        <v>46199.958333333336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67"/>
      <c r="X57" s="28">
        <f ca="1">Horarios!C57</f>
        <v>46199.958333333336</v>
      </c>
      <c r="Y57" s="29">
        <f ca="1">Horarios!C57</f>
        <v>46199.958333333336</v>
      </c>
      <c r="Z57" s="30" t="str">
        <f>$Z$8</f>
        <v>J3</v>
      </c>
      <c r="AA57" s="31" t="str">
        <f ca="1">A56</f>
        <v>Nueva Zelanda</v>
      </c>
      <c r="AB57" s="52" t="str" cm="1">
        <f t="array" aca="1" ref="AB57" ca="1">Ver_flag_local</f>
        <v/>
      </c>
      <c r="AC57" s="53">
        <v>1</v>
      </c>
      <c r="AD57" s="54">
        <v>5</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5.95"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46188.5</v>
      </c>
      <c r="Y60" s="25">
        <f ca="1">Horarios!C60</f>
        <v>46188.5</v>
      </c>
      <c r="Z60" s="26" t="str">
        <f>$Z$4</f>
        <v>J1</v>
      </c>
      <c r="AA60" s="27" t="str">
        <f ca="1">A61</f>
        <v>España</v>
      </c>
      <c r="AB60" s="49" t="str" cm="1">
        <f t="array" aca="1" ref="AB60" ca="1">Ver_flag_local</f>
        <v/>
      </c>
      <c r="AC60" s="50">
        <v>0</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5.95"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8"/>
      <c r="X61" s="24">
        <f ca="1">Horarios!C61</f>
        <v>46188.75</v>
      </c>
      <c r="Y61" s="25">
        <f ca="1">Horarios!C61</f>
        <v>46188.75</v>
      </c>
      <c r="Z61" s="26" t="str">
        <f>$Z$4</f>
        <v>J1</v>
      </c>
      <c r="AA61" s="27" t="str">
        <f ca="1">A63</f>
        <v>Arabia Saudita</v>
      </c>
      <c r="AB61" s="49" t="str" cm="1">
        <f t="array" aca="1" ref="AB61" ca="1">Ver_flag_local</f>
        <v/>
      </c>
      <c r="AC61" s="50">
        <v>1</v>
      </c>
      <c r="AD61" s="51">
        <v>1</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5.95"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8"/>
      <c r="X62" s="24">
        <f ca="1">Horarios!C62</f>
        <v>46194.5</v>
      </c>
      <c r="Y62" s="25">
        <f ca="1">Horarios!C62</f>
        <v>46194.5</v>
      </c>
      <c r="Z62" s="26" t="str">
        <f>$Z$6</f>
        <v>J2</v>
      </c>
      <c r="AA62" s="27" t="str">
        <f ca="1">A61</f>
        <v>España</v>
      </c>
      <c r="AB62" s="49" t="str" cm="1">
        <f t="array" aca="1" ref="AB62" ca="1">Ver_flag_local</f>
        <v/>
      </c>
      <c r="AC62" s="50">
        <v>4</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3.0030000000000001</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5.95"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8"/>
      <c r="X63" s="24">
        <f ca="1">Horarios!C63</f>
        <v>46194.75</v>
      </c>
      <c r="Y63" s="25">
        <f ca="1">Horarios!C63</f>
        <v>46194.75</v>
      </c>
      <c r="Z63" s="26" t="str">
        <f>$Z$6</f>
        <v>J2</v>
      </c>
      <c r="AA63" s="27" t="str">
        <f ca="1">A64</f>
        <v>Uruguay</v>
      </c>
      <c r="AB63" s="49" t="str" cm="1">
        <f t="array" aca="1" ref="AB63" ca="1">Ver_flag_local</f>
        <v/>
      </c>
      <c r="AC63" s="50">
        <v>2</v>
      </c>
      <c r="AD63" s="51">
        <v>2</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8"/>
      <c r="X64" s="24">
        <f ca="1">Horarios!C64</f>
        <v>46199.833333333336</v>
      </c>
      <c r="Y64" s="25">
        <f ca="1">Horarios!C64</f>
        <v>46199.833333333336</v>
      </c>
      <c r="Z64" s="26" t="str">
        <f>$Z$8</f>
        <v>J3</v>
      </c>
      <c r="AA64" s="27" t="str">
        <f ca="1">A62</f>
        <v>Cabo Verde</v>
      </c>
      <c r="AB64" s="49" t="str" cm="1">
        <f t="array" aca="1" ref="AB64" ca="1">Ver_flag_local</f>
        <v/>
      </c>
      <c r="AC64" s="50">
        <v>0</v>
      </c>
      <c r="AD64" s="51">
        <v>0</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5"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9"/>
      <c r="X65" s="28">
        <f ca="1">Horarios!C65</f>
        <v>46199.833333333336</v>
      </c>
      <c r="Y65" s="29">
        <f ca="1">Horarios!C65</f>
        <v>46199.833333333336</v>
      </c>
      <c r="Z65" s="30" t="str">
        <f>$Z$8</f>
        <v>J3</v>
      </c>
      <c r="AA65" s="31" t="str">
        <f ca="1">A64</f>
        <v>Uruguay</v>
      </c>
      <c r="AB65" s="52" t="str" cm="1">
        <f t="array" aca="1" ref="AB65" ca="1">Ver_flag_local</f>
        <v/>
      </c>
      <c r="AC65" s="53">
        <v>0</v>
      </c>
      <c r="AD65" s="54">
        <v>1</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5.95"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5.95"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5.95"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46189.625</v>
      </c>
      <c r="Y68" s="25">
        <f ca="1">Horarios!C68</f>
        <v>46189.625</v>
      </c>
      <c r="Z68" s="26" t="str">
        <f>$Z$4</f>
        <v>J1</v>
      </c>
      <c r="AA68" s="27" t="str">
        <f ca="1">A69</f>
        <v>Francia</v>
      </c>
      <c r="AB68" s="49" t="str" cm="1">
        <f t="array" aca="1" ref="AB68" ca="1">Ver_flag_local</f>
        <v/>
      </c>
      <c r="AC68" s="50">
        <v>3</v>
      </c>
      <c r="AD68" s="51">
        <v>1</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5.95"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46189.75</v>
      </c>
      <c r="Y69" s="25">
        <f ca="1">Horarios!C69</f>
        <v>46189.75</v>
      </c>
      <c r="Z69" s="26" t="str">
        <f>$Z$4</f>
        <v>J1</v>
      </c>
      <c r="AA69" s="27" t="str">
        <f ca="1">A71</f>
        <v>Irak</v>
      </c>
      <c r="AB69" s="49" t="str" cm="1">
        <f t="array" aca="1" ref="AB69" ca="1">Ver_flag_local</f>
        <v/>
      </c>
      <c r="AC69" s="50">
        <v>1</v>
      </c>
      <c r="AD69" s="51">
        <v>4</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4.0039999999999996</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5.95"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46195.708333333336</v>
      </c>
      <c r="Y70" s="25">
        <f ca="1">Horarios!C70</f>
        <v>46195.708333333336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5.95"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46195.833333333336</v>
      </c>
      <c r="Y71" s="25">
        <f ca="1">Horarios!C71</f>
        <v>46195.833333333336</v>
      </c>
      <c r="Z71" s="26" t="str">
        <f>$Z$6</f>
        <v>J2</v>
      </c>
      <c r="AA71" s="27" t="str">
        <f ca="1">A72</f>
        <v>Noruega</v>
      </c>
      <c r="AB71" s="49" t="str" cm="1">
        <f t="array" aca="1" ref="AB71" ca="1">Ver_flag_local</f>
        <v/>
      </c>
      <c r="AC71" s="50">
        <v>3</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46199.625</v>
      </c>
      <c r="Y72" s="25">
        <f ca="1">Horarios!C72</f>
        <v>46199.625</v>
      </c>
      <c r="Z72" s="26" t="str">
        <f>$Z$8</f>
        <v>J3</v>
      </c>
      <c r="AA72" s="27" t="str">
        <f ca="1">A72</f>
        <v>Noruega</v>
      </c>
      <c r="AB72" s="49" t="str" cm="1">
        <f t="array" aca="1" ref="AB72" ca="1">Ver_flag_local</f>
        <v/>
      </c>
      <c r="AC72" s="50">
        <v>1</v>
      </c>
      <c r="AD72" s="51">
        <v>4</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5.95"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46199.625</v>
      </c>
      <c r="Y73" s="29">
        <f ca="1">Horarios!C73</f>
        <v>46199.625</v>
      </c>
      <c r="Z73" s="30" t="str">
        <f>$Z$8</f>
        <v>J3</v>
      </c>
      <c r="AA73" s="31" t="str">
        <f ca="1">A70</f>
        <v>Senegal</v>
      </c>
      <c r="AB73" s="52" t="str" cm="1">
        <f t="array" aca="1" ref="AB73" ca="1">Ver_flag_local</f>
        <v/>
      </c>
      <c r="AC73" s="53">
        <v>5</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5.95"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46189.875</v>
      </c>
      <c r="Y76" s="25">
        <f ca="1">Horarios!C76</f>
        <v>46189.875</v>
      </c>
      <c r="Z76" s="26" t="str">
        <f>$Z$4</f>
        <v>J1</v>
      </c>
      <c r="AA76" s="27" t="str">
        <f ca="1">A77</f>
        <v>Argentina</v>
      </c>
      <c r="AB76" s="49" t="str" cm="1">
        <f t="array" aca="1" ref="AB76" ca="1">Ver_flag_local</f>
        <v/>
      </c>
      <c r="AC76" s="50">
        <v>3</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v>
      </c>
      <c r="Y77" s="25">
        <f ca="1">Horarios!C77</f>
        <v>46190</v>
      </c>
      <c r="Z77" s="26" t="str">
        <f>$Z$4</f>
        <v>J1</v>
      </c>
      <c r="AA77" s="27" t="str">
        <f ca="1">A79</f>
        <v>Austria</v>
      </c>
      <c r="AB77" s="49" t="str" cm="1">
        <f t="array" aca="1" ref="AB77" ca="1">Ver_flag_local</f>
        <v/>
      </c>
      <c r="AC77" s="50">
        <v>3</v>
      </c>
      <c r="AD77" s="51">
        <v>1</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46195.541666666664</v>
      </c>
      <c r="Y78" s="25">
        <f ca="1">Horarios!C78</f>
        <v>46195.541666666664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46195.958333333336</v>
      </c>
      <c r="Y79" s="25">
        <f ca="1">Horarios!C79</f>
        <v>46195.958333333336</v>
      </c>
      <c r="Z79" s="26" t="str">
        <f>$Z$6</f>
        <v>J2</v>
      </c>
      <c r="AA79" s="27" t="str">
        <f ca="1">A80</f>
        <v>Jordania</v>
      </c>
      <c r="AB79" s="49" t="str" cm="1">
        <f t="array" aca="1" ref="AB79" ca="1">Ver_flag_local</f>
        <v/>
      </c>
      <c r="AC79" s="50">
        <v>1</v>
      </c>
      <c r="AD79" s="51">
        <v>2</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46200.916666666664</v>
      </c>
      <c r="Y80" s="25">
        <f ca="1">Horarios!C80</f>
        <v>46200.916666666664</v>
      </c>
      <c r="Z80" s="26" t="str">
        <f>$Z$8</f>
        <v>J3</v>
      </c>
      <c r="AA80" s="27" t="str">
        <f ca="1">A78</f>
        <v>Argelia</v>
      </c>
      <c r="AB80" s="49" t="str" cm="1">
        <f t="array" aca="1" ref="AB80" ca="1">Ver_flag_local</f>
        <v/>
      </c>
      <c r="AC80" s="50">
        <v>3</v>
      </c>
      <c r="AD80" s="51">
        <v>3</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46200.916666666664</v>
      </c>
      <c r="Y81" s="29">
        <f ca="1">Horarios!C81</f>
        <v>46200.916666666664</v>
      </c>
      <c r="Z81" s="30" t="str">
        <f>$Z$8</f>
        <v>J3</v>
      </c>
      <c r="AA81" s="31" t="str">
        <f ca="1">A80</f>
        <v>Jordania</v>
      </c>
      <c r="AB81" s="52" t="str" cm="1">
        <f t="array" aca="1" ref="AB81" ca="1">Ver_flag_local</f>
        <v/>
      </c>
      <c r="AC81" s="53">
        <v>1</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46190.541666666664</v>
      </c>
      <c r="Y84" s="25">
        <f ca="1">Horarios!C84</f>
        <v>46190.541666666664</v>
      </c>
      <c r="Z84" s="26" t="str">
        <f>$Z$4</f>
        <v>J1</v>
      </c>
      <c r="AA84" s="27" t="str">
        <f ca="1">A85</f>
        <v>Portugal</v>
      </c>
      <c r="AB84" s="49" t="str" cm="1">
        <f t="array" aca="1" ref="AB84" ca="1">Ver_flag_local</f>
        <v/>
      </c>
      <c r="AC84" s="50">
        <v>1</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46190.916666666664</v>
      </c>
      <c r="Y85" s="25">
        <f ca="1">Horarios!C85</f>
        <v>46190.916666666664</v>
      </c>
      <c r="Z85" s="26" t="str">
        <f>$Z$4</f>
        <v>J1</v>
      </c>
      <c r="AA85" s="27" t="str">
        <f ca="1">A87</f>
        <v>Uzbekistán</v>
      </c>
      <c r="AB85" s="49" t="str" cm="1">
        <f t="array" aca="1" ref="AB85" ca="1">Ver_flag_local</f>
        <v/>
      </c>
      <c r="AC85" s="50">
        <v>1</v>
      </c>
      <c r="AD85" s="51">
        <v>3</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46196.541666666664</v>
      </c>
      <c r="Y86" s="25">
        <f ca="1">Horarios!C86</f>
        <v>46196.541666666664</v>
      </c>
      <c r="Z86" s="26" t="str">
        <f>$Z$6</f>
        <v>J2</v>
      </c>
      <c r="AA86" s="27" t="str">
        <f ca="1">A85</f>
        <v>Portugal</v>
      </c>
      <c r="AB86" s="49" t="str" cm="1">
        <f t="array" aca="1" ref="AB86" ca="1">Ver_flag_local</f>
        <v/>
      </c>
      <c r="AC86" s="50">
        <v>5</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5.95"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46196.916666666664</v>
      </c>
      <c r="Y87" s="25">
        <f ca="1">Horarios!C87</f>
        <v>46196.916666666664</v>
      </c>
      <c r="Z87" s="26" t="str">
        <f>$Z$6</f>
        <v>J2</v>
      </c>
      <c r="AA87" s="27" t="str">
        <f ca="1">A88</f>
        <v>Colombia</v>
      </c>
      <c r="AB87" s="49" t="str" cm="1">
        <f t="array" aca="1" ref="AB87" ca="1">Ver_flag_local</f>
        <v/>
      </c>
      <c r="AC87" s="50">
        <v>1</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5.95"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46200.8125</v>
      </c>
      <c r="Y88" s="25">
        <f ca="1">Horarios!C88</f>
        <v>46200.8125</v>
      </c>
      <c r="Z88" s="26" t="str">
        <f>$Z$8</f>
        <v>J3</v>
      </c>
      <c r="AA88" s="27" t="str">
        <f ca="1">A88</f>
        <v>Colombia</v>
      </c>
      <c r="AB88" s="49" t="str" cm="1">
        <f t="array" aca="1" ref="AB88" ca="1">Ver_flag_local</f>
        <v/>
      </c>
      <c r="AC88" s="50">
        <v>0</v>
      </c>
      <c r="AD88" s="51">
        <v>0</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5.95"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46200.8125</v>
      </c>
      <c r="Y89" s="29">
        <f ca="1">Horarios!C89</f>
        <v>46200.8125</v>
      </c>
      <c r="Z89" s="30" t="str">
        <f>$Z$8</f>
        <v>J3</v>
      </c>
      <c r="AA89" s="31" t="str">
        <f ca="1">A86</f>
        <v>RD Congo</v>
      </c>
      <c r="AB89" s="52" t="str" cm="1">
        <f t="array" aca="1" ref="AB89" ca="1">Ver_flag_local</f>
        <v/>
      </c>
      <c r="AC89" s="53">
        <v>3</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5.95"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46190.666666666664</v>
      </c>
      <c r="Y92" s="25">
        <f ca="1">Horarios!C92</f>
        <v>46190.666666666664</v>
      </c>
      <c r="Z92" s="26" t="str">
        <f>$Z$4</f>
        <v>J1</v>
      </c>
      <c r="AA92" s="27" t="str">
        <f ca="1">A93</f>
        <v>Inglaterra</v>
      </c>
      <c r="AB92" s="49" t="str" cm="1">
        <f t="array" aca="1" ref="AB92" ca="1">Ver_flag_local</f>
        <v/>
      </c>
      <c r="AC92" s="50">
        <v>4</v>
      </c>
      <c r="AD92" s="51">
        <v>2</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46190.791666666664</v>
      </c>
      <c r="Y93" s="25">
        <f ca="1">Horarios!C93</f>
        <v>46190.791666666664</v>
      </c>
      <c r="Z93" s="26" t="str">
        <f>$Z$4</f>
        <v>J1</v>
      </c>
      <c r="AA93" s="27" t="str">
        <f ca="1">A95</f>
        <v>Ghana</v>
      </c>
      <c r="AB93" s="49" t="str" cm="1">
        <f t="array" aca="1" ref="AB93" ca="1">Ver_flag_local</f>
        <v/>
      </c>
      <c r="AC93" s="50">
        <v>1</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46196.666666666664</v>
      </c>
      <c r="Y94" s="25">
        <f ca="1">Horarios!C94</f>
        <v>46196.666666666664</v>
      </c>
      <c r="Z94" s="26" t="str">
        <f>$Z$6</f>
        <v>J2</v>
      </c>
      <c r="AA94" s="27" t="str">
        <f ca="1">A93</f>
        <v>Inglaterra</v>
      </c>
      <c r="AB94" s="49" t="str" cm="1">
        <f t="array" aca="1" ref="AB94" ca="1">Ver_flag_local</f>
        <v/>
      </c>
      <c r="AC94" s="50">
        <v>0</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5.95"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46196.791666666664</v>
      </c>
      <c r="Y95" s="25">
        <f ca="1">Horarios!C95</f>
        <v>46196.791666666664</v>
      </c>
      <c r="Z95" s="26" t="str">
        <f>$Z$6</f>
        <v>J2</v>
      </c>
      <c r="AA95" s="27" t="str">
        <f ca="1">A96</f>
        <v>Panamá</v>
      </c>
      <c r="AB95" s="49" t="str" cm="1">
        <f t="array" aca="1" ref="AB95" ca="1">Ver_flag_local</f>
        <v/>
      </c>
      <c r="AC95" s="50">
        <v>0</v>
      </c>
      <c r="AD95" s="51">
        <v>1</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5</v>
      </c>
      <c r="AS95" s="39">
        <f t="shared" ca="1" si="287"/>
        <v>5</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5.95"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46200.708333333336</v>
      </c>
      <c r="Y96" s="25">
        <f ca="1">Horarios!C96</f>
        <v>46200.708333333336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5.95"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46200.708333333336</v>
      </c>
      <c r="Y97" s="29">
        <f ca="1">Horarios!C97</f>
        <v>46200.708333333336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4</v>
      </c>
      <c r="AT97" s="48">
        <f t="shared" ca="1" si="287"/>
        <v>-4</v>
      </c>
      <c r="AU97" s="330">
        <f ca="1">INDEX($DL$6:$DL$53,MATCH(AI97,$DP$6:$DP$53,0))</f>
        <v>1</v>
      </c>
      <c r="AV97" s="182" t="str">
        <f ca="1">INDEX($BD$6:$BD$53,MATCH(AI97,$BM$6:$BM$53,0))</f>
        <v>Panamá</v>
      </c>
      <c r="AW97" s="210"/>
      <c r="AX97" s="171"/>
      <c r="AY97" s="205" t="str">
        <f ca="1">+A96</f>
        <v>Panamá</v>
      </c>
      <c r="AZ97" s="206"/>
      <c r="BA97" s="176"/>
    </row>
    <row r="98" spans="1:62" ht="15.75"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46201.625</v>
      </c>
      <c r="Y101" s="25">
        <f ca="1">Horarios!C101</f>
        <v>46201.625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5.95"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46202.541666666664</v>
      </c>
      <c r="Y102" s="25">
        <f ca="1">Horarios!C102</f>
        <v>46202.541666666664</v>
      </c>
      <c r="Z102" s="280">
        <f t="shared" ref="Z102:Z116" si="296">AH102</f>
        <v>76</v>
      </c>
      <c r="AA102" s="88" t="str">
        <f t="shared" ca="1" si="292"/>
        <v>Brasil</v>
      </c>
      <c r="AB102" s="89"/>
      <c r="AC102" s="92">
        <v>3</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5.95"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46202.6875</v>
      </c>
      <c r="Y103" s="25">
        <f ca="1">Horarios!C103</f>
        <v>46202.6875</v>
      </c>
      <c r="Z103" s="280">
        <f t="shared" si="296"/>
        <v>74</v>
      </c>
      <c r="AA103" s="88" t="str">
        <f t="shared" ca="1" si="292"/>
        <v>Alemania</v>
      </c>
      <c r="AB103" s="89"/>
      <c r="AC103" s="92">
        <v>2</v>
      </c>
      <c r="AD103" s="92">
        <v>1</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5.95" customHeight="1" x14ac:dyDescent="0.2">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46202.875</v>
      </c>
      <c r="Y104" s="25">
        <f ca="1">Horarios!C104</f>
        <v>46202.875</v>
      </c>
      <c r="Z104" s="280">
        <f t="shared" si="296"/>
        <v>75</v>
      </c>
      <c r="AA104" s="88" t="str">
        <f t="shared" ca="1" si="292"/>
        <v>Países Bajos</v>
      </c>
      <c r="AB104" s="89"/>
      <c r="AC104" s="92">
        <v>1</v>
      </c>
      <c r="AD104" s="92">
        <v>2</v>
      </c>
      <c r="AE104" s="89"/>
      <c r="AF104" s="91" t="str">
        <f t="shared" ca="1" si="293"/>
        <v>Marruecos</v>
      </c>
      <c r="AG104" s="327">
        <f t="shared" ca="1" si="294"/>
        <v>1</v>
      </c>
      <c r="AH104" s="195">
        <v>75</v>
      </c>
      <c r="AI104" s="182">
        <v>3</v>
      </c>
      <c r="AJ104" s="42">
        <v>3</v>
      </c>
      <c r="AK104" s="602" t="str" cm="1">
        <f t="array" aca="1" ref="AK104" ca="1">Ver_flag_visit</f>
        <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v>3</v>
      </c>
      <c r="AX104" s="170"/>
      <c r="AY104" s="276"/>
      <c r="AZ104" s="279" t="str">
        <f t="shared" ca="1" si="303"/>
        <v>1B - 3J</v>
      </c>
      <c r="BA104" s="176"/>
      <c r="BF104" t="str">
        <f t="shared" ca="1" si="304"/>
        <v>F</v>
      </c>
      <c r="BG104">
        <f t="shared" ca="1" si="305"/>
        <v>4</v>
      </c>
      <c r="BI104">
        <v>2</v>
      </c>
      <c r="BJ104" t="str">
        <f t="shared" ca="1" si="306"/>
        <v>D</v>
      </c>
    </row>
    <row r="105" spans="1:62" ht="15.95" customHeight="1" x14ac:dyDescent="0.2">
      <c r="A105" s="16" t="s">
        <v>684</v>
      </c>
      <c r="B105" s="16" t="s">
        <v>734</v>
      </c>
      <c r="C105" s="16"/>
      <c r="D105" s="16" t="str">
        <f t="shared" ca="1" si="289"/>
        <v>Costa de Marfil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46203.541666666664</v>
      </c>
      <c r="Y105" s="25">
        <f ca="1">Horarios!C105</f>
        <v>46203.541666666664</v>
      </c>
      <c r="Z105" s="280">
        <f t="shared" si="296"/>
        <v>78</v>
      </c>
      <c r="AA105" s="88" t="str">
        <f t="shared" ca="1" si="292"/>
        <v>Costa de Marfil</v>
      </c>
      <c r="AB105" s="89"/>
      <c r="AC105" s="92">
        <v>2</v>
      </c>
      <c r="AD105" s="92">
        <v>1</v>
      </c>
      <c r="AE105" s="89"/>
      <c r="AF105" s="91" t="str">
        <f t="shared" ca="1" si="293"/>
        <v>Noruega</v>
      </c>
      <c r="AG105" s="327">
        <f t="shared" ca="1" si="294"/>
        <v>1</v>
      </c>
      <c r="AH105" s="195">
        <v>78</v>
      </c>
      <c r="AI105" s="182">
        <v>4</v>
      </c>
      <c r="AJ105" s="42">
        <v>4</v>
      </c>
      <c r="AK105" s="602" t="str" cm="1">
        <f t="array" aca="1" ref="AK105" ca="1">Ver_flag_visit</f>
        <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v>4</v>
      </c>
      <c r="AX105" s="170"/>
      <c r="AY105" s="276"/>
      <c r="AZ105" s="279" t="str">
        <f t="shared" ca="1" si="303"/>
        <v>1D - 3B</v>
      </c>
      <c r="BA105" s="176"/>
      <c r="BF105" t="str">
        <f t="shared" ca="1" si="304"/>
        <v>E</v>
      </c>
      <c r="BG105">
        <f t="shared" ca="1" si="305"/>
        <v>3</v>
      </c>
      <c r="BI105">
        <v>3</v>
      </c>
      <c r="BJ105" t="str">
        <f t="shared" ca="1" si="306"/>
        <v>E</v>
      </c>
    </row>
    <row r="106" spans="1:62" ht="15.95"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46203.708333333336</v>
      </c>
      <c r="Y106" s="25">
        <f ca="1">Horarios!C106</f>
        <v>46203.708333333336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str" cm="1">
        <f t="array" aca="1" ref="AK106" ca="1">Ver_flag_visit</f>
        <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5.95" customHeight="1" x14ac:dyDescent="0.2">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46203.875</v>
      </c>
      <c r="Y107" s="25">
        <f ca="1">Horarios!C107</f>
        <v>46203.875</v>
      </c>
      <c r="Z107" s="280">
        <f t="shared" si="296"/>
        <v>79</v>
      </c>
      <c r="AA107" s="88" t="str">
        <f t="shared" ca="1" si="292"/>
        <v>México</v>
      </c>
      <c r="AB107" s="89">
        <v>4</v>
      </c>
      <c r="AC107" s="92">
        <v>1</v>
      </c>
      <c r="AD107" s="92">
        <v>1</v>
      </c>
      <c r="AE107" s="89">
        <v>3</v>
      </c>
      <c r="AF107" s="91" t="str">
        <f t="shared" ca="1" si="293"/>
        <v>Ecuador</v>
      </c>
      <c r="AG107" s="327">
        <f t="shared" ca="1" si="294"/>
        <v>1</v>
      </c>
      <c r="AH107" s="195">
        <v>79</v>
      </c>
      <c r="AI107" s="182">
        <v>6</v>
      </c>
      <c r="AJ107" s="42">
        <v>6</v>
      </c>
      <c r="AK107" s="602" t="str" cm="1">
        <f t="array" aca="1" ref="AK107" ca="1">Ver_flag_visit</f>
        <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5.95"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46204.5</v>
      </c>
      <c r="Y108" s="25">
        <f ca="1">Horarios!C108</f>
        <v>46204.5</v>
      </c>
      <c r="Z108" s="280">
        <f t="shared" si="296"/>
        <v>80</v>
      </c>
      <c r="AA108" s="88" t="str">
        <f t="shared" ca="1" si="292"/>
        <v>Inglaterra</v>
      </c>
      <c r="AB108" s="89"/>
      <c r="AC108" s="92">
        <v>3</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5.95" customHeight="1" x14ac:dyDescent="0.2">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46204.666666666664</v>
      </c>
      <c r="Y109" s="25">
        <f ca="1">Horarios!C109</f>
        <v>46204.666666666664</v>
      </c>
      <c r="Z109" s="280">
        <f t="shared" si="296"/>
        <v>82</v>
      </c>
      <c r="AA109" s="88" t="str">
        <f t="shared" ca="1" si="292"/>
        <v>Bélgica</v>
      </c>
      <c r="AB109" s="89"/>
      <c r="AC109" s="92">
        <v>3</v>
      </c>
      <c r="AD109" s="92">
        <v>1</v>
      </c>
      <c r="AE109" s="89"/>
      <c r="AF109" s="91" t="str">
        <f t="shared" ca="1" si="293"/>
        <v>Senegal</v>
      </c>
      <c r="AG109" s="327">
        <f t="shared" ca="1" si="294"/>
        <v>1</v>
      </c>
      <c r="AH109" s="195">
        <v>82</v>
      </c>
      <c r="AI109" s="182">
        <v>8</v>
      </c>
      <c r="AJ109" s="42">
        <v>8</v>
      </c>
      <c r="AK109" s="602" t="str" cm="1">
        <f t="array" aca="1" ref="AK109" ca="1">Ver_flag_visit</f>
        <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5.95"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8"/>
      <c r="X110" s="24">
        <f ca="1">Horarios!C110</f>
        <v>46204.833333333336</v>
      </c>
      <c r="Y110" s="25">
        <f ca="1">Horarios!C110</f>
        <v>46204.833333333336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str" cm="1">
        <f t="array" aca="1" ref="AK110" ca="1">Ver_flag_visit</f>
        <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5.95"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46205.625</v>
      </c>
      <c r="Y111" s="25">
        <f ca="1">Horarios!C111</f>
        <v>46205.625</v>
      </c>
      <c r="Z111" s="280">
        <f t="shared" si="296"/>
        <v>84</v>
      </c>
      <c r="AA111" s="88" t="str">
        <f t="shared" ca="1" si="292"/>
        <v>España</v>
      </c>
      <c r="AB111" s="89"/>
      <c r="AC111" s="92">
        <v>3</v>
      </c>
      <c r="AD111" s="92">
        <v>2</v>
      </c>
      <c r="AE111" s="89"/>
      <c r="AF111" s="91" t="str">
        <f t="shared" ca="1" si="293"/>
        <v>Austria</v>
      </c>
      <c r="AG111" s="327">
        <f t="shared" ca="1" si="294"/>
        <v>1</v>
      </c>
      <c r="AH111" s="195">
        <v>84</v>
      </c>
      <c r="AI111" s="182">
        <v>10</v>
      </c>
      <c r="AJ111" s="42">
        <v>10</v>
      </c>
      <c r="AK111" s="602" t="str" cm="1">
        <f t="array" aca="1" ref="AK111" ca="1">Ver_flag_visit</f>
        <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5.95" customHeight="1" x14ac:dyDescent="0.2">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46205.791666666664</v>
      </c>
      <c r="Y112" s="25">
        <f ca="1">Horarios!C112</f>
        <v>46205.791666666664</v>
      </c>
      <c r="Z112" s="280">
        <f t="shared" si="296"/>
        <v>83</v>
      </c>
      <c r="AA112" s="88" t="str">
        <f t="shared" ca="1" si="292"/>
        <v>Portugal</v>
      </c>
      <c r="AB112" s="89">
        <v>4</v>
      </c>
      <c r="AC112" s="92">
        <v>1</v>
      </c>
      <c r="AD112" s="92">
        <v>1</v>
      </c>
      <c r="AE112" s="89">
        <v>3</v>
      </c>
      <c r="AF112" s="91" t="str">
        <f t="shared" ca="1" si="293"/>
        <v>Croacia</v>
      </c>
      <c r="AG112" s="327">
        <f t="shared" ca="1" si="294"/>
        <v>1</v>
      </c>
      <c r="AH112" s="195">
        <v>83</v>
      </c>
      <c r="AI112" s="182">
        <v>11</v>
      </c>
      <c r="AJ112" s="42">
        <v>11</v>
      </c>
      <c r="AK112" s="602" t="str" cm="1">
        <f t="array" aca="1" ref="AK112" ca="1">Ver_flag_visit</f>
        <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5.95"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8"/>
      <c r="X113" s="24">
        <f ca="1">Horarios!C113</f>
        <v>46205.958333333336</v>
      </c>
      <c r="Y113" s="25">
        <f ca="1">Horarios!C113</f>
        <v>46205.958333333336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5.95" customHeight="1" x14ac:dyDescent="0.2">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8"/>
      <c r="X114" s="24">
        <f ca="1">Horarios!C114</f>
        <v>46206.583333333336</v>
      </c>
      <c r="Y114" s="25">
        <f ca="1">Horarios!C114</f>
        <v>46206.583333333336</v>
      </c>
      <c r="Z114" s="280">
        <f t="shared" si="296"/>
        <v>88</v>
      </c>
      <c r="AA114" s="88" t="str">
        <f t="shared" ca="1" si="292"/>
        <v>Australia</v>
      </c>
      <c r="AB114" s="89"/>
      <c r="AC114" s="92">
        <v>1</v>
      </c>
      <c r="AD114" s="92">
        <v>2</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46206.75</v>
      </c>
      <c r="Y115" s="25">
        <f ca="1">Horarios!C115</f>
        <v>46206.75</v>
      </c>
      <c r="Z115" s="280">
        <f t="shared" si="296"/>
        <v>86</v>
      </c>
      <c r="AA115" s="88" t="str">
        <f t="shared" ca="1" si="292"/>
        <v>Argentina</v>
      </c>
      <c r="AB115" s="89"/>
      <c r="AC115" s="92">
        <v>3</v>
      </c>
      <c r="AD115" s="92">
        <v>1</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46206.895833333336</v>
      </c>
      <c r="Y116" s="29">
        <f ca="1">Horarios!C116</f>
        <v>46206.895833333336</v>
      </c>
      <c r="Z116" s="281">
        <f t="shared" si="296"/>
        <v>87</v>
      </c>
      <c r="AA116" s="93" t="str">
        <f t="shared" ca="1" si="292"/>
        <v>Colombia</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5.95"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46207.541666666664</v>
      </c>
      <c r="Y120" s="25">
        <f ca="1">Horarios!C120</f>
        <v>46207.541666666664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0"/>
      <c r="X121" s="24">
        <f ca="1">Horarios!C121</f>
        <v>46207.708333333336</v>
      </c>
      <c r="Y121" s="25">
        <f ca="1">Horarios!C121</f>
        <v>46207.708333333336</v>
      </c>
      <c r="Z121" s="280">
        <f t="shared" si="319"/>
        <v>89</v>
      </c>
      <c r="AA121" s="88" t="str">
        <f t="shared" ca="1" si="320"/>
        <v>Alemania</v>
      </c>
      <c r="AB121" s="89">
        <v>3</v>
      </c>
      <c r="AC121" s="97">
        <v>1</v>
      </c>
      <c r="AD121" s="97">
        <v>1</v>
      </c>
      <c r="AE121" s="89">
        <v>4</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5.95"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Costa de Marfil</v>
      </c>
      <c r="O122" s="16"/>
      <c r="P122" s="16"/>
      <c r="Q122" s="16"/>
      <c r="R122" s="16"/>
      <c r="S122" s="16"/>
      <c r="T122" s="16"/>
      <c r="U122" s="16"/>
      <c r="V122" s="17"/>
      <c r="W122" s="660"/>
      <c r="X122" s="24">
        <f ca="1">Horarios!C122</f>
        <v>46208.666666666664</v>
      </c>
      <c r="Y122" s="25">
        <f ca="1">Horarios!C122</f>
        <v>46208.666666666664</v>
      </c>
      <c r="Z122" s="280">
        <f t="shared" si="319"/>
        <v>91</v>
      </c>
      <c r="AA122" s="88" t="str">
        <f t="shared" ca="1" si="320"/>
        <v>Brasil</v>
      </c>
      <c r="AB122" s="89"/>
      <c r="AC122" s="97">
        <v>2</v>
      </c>
      <c r="AD122" s="97">
        <v>1</v>
      </c>
      <c r="AE122" s="89"/>
      <c r="AF122" s="91" t="str">
        <f t="shared" ca="1" si="321"/>
        <v>Costa de Marfil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x14ac:dyDescent="0.2">
      <c r="A123" s="16" t="s">
        <v>747</v>
      </c>
      <c r="B123" s="16" t="s">
        <v>748</v>
      </c>
      <c r="C123" s="16"/>
      <c r="D123" s="16" t="str">
        <f t="shared" ca="1" si="317"/>
        <v>México</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46208.833333333336</v>
      </c>
      <c r="Y123" s="25">
        <f ca="1">Horarios!C123</f>
        <v>46208.833333333336</v>
      </c>
      <c r="Z123" s="280">
        <f t="shared" si="319"/>
        <v>92</v>
      </c>
      <c r="AA123" s="88" t="str">
        <f t="shared" ca="1" si="320"/>
        <v>México</v>
      </c>
      <c r="AB123" s="89">
        <v>4</v>
      </c>
      <c r="AC123" s="97">
        <v>1</v>
      </c>
      <c r="AD123" s="97">
        <v>1</v>
      </c>
      <c r="AE123" s="89">
        <v>3</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60"/>
      <c r="X124" s="24">
        <f ca="1">Horarios!C124</f>
        <v>46209.625</v>
      </c>
      <c r="Y124" s="25">
        <f ca="1">Horarios!C124</f>
        <v>46209.625</v>
      </c>
      <c r="Z124" s="280">
        <f t="shared" si="319"/>
        <v>93</v>
      </c>
      <c r="AA124" s="88" t="str">
        <f t="shared" ca="1" si="320"/>
        <v>Portugal</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5.95" customHeight="1" x14ac:dyDescent="0.2">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46209.833333333336</v>
      </c>
      <c r="Y125" s="25">
        <f ca="1">Horarios!C125</f>
        <v>46209.833333333336</v>
      </c>
      <c r="Z125" s="280">
        <f t="shared" si="319"/>
        <v>94</v>
      </c>
      <c r="AA125" s="88" t="str">
        <f t="shared" ca="1" si="320"/>
        <v>Estados Unidos</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46210.5</v>
      </c>
      <c r="Y126" s="25">
        <f ca="1">Horarios!C126</f>
        <v>46210.5</v>
      </c>
      <c r="Z126" s="280">
        <f t="shared" si="319"/>
        <v>95</v>
      </c>
      <c r="AA126" s="88" t="str">
        <f t="shared" ca="1" si="320"/>
        <v>Argentina</v>
      </c>
      <c r="AB126" s="89"/>
      <c r="AC126" s="99">
        <v>3</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x14ac:dyDescent="0.25">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61"/>
      <c r="X127" s="28">
        <f ca="1">Horarios!C127</f>
        <v>46210.666666666664</v>
      </c>
      <c r="Y127" s="29">
        <f ca="1">Horarios!C127</f>
        <v>46210.666666666664</v>
      </c>
      <c r="Z127" s="281">
        <f t="shared" si="319"/>
        <v>96</v>
      </c>
      <c r="AA127" s="93" t="str">
        <f t="shared" ca="1" si="320"/>
        <v>Suiza</v>
      </c>
      <c r="AB127" s="94"/>
      <c r="AC127" s="100">
        <v>0</v>
      </c>
      <c r="AD127" s="100">
        <v>1</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46212.666666666664</v>
      </c>
      <c r="Y131" s="25">
        <f ca="1">Horarios!C131</f>
        <v>46212.666666666664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46213.625</v>
      </c>
      <c r="Y132" s="25">
        <f ca="1">Horarios!C132</f>
        <v>46213.625</v>
      </c>
      <c r="Z132" s="282">
        <f t="shared" si="324"/>
        <v>98</v>
      </c>
      <c r="AA132" s="88" t="str">
        <f t="shared" ca="1" si="325"/>
        <v>España</v>
      </c>
      <c r="AB132" s="89"/>
      <c r="AC132" s="99">
        <v>2</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México</v>
      </c>
      <c r="O133" s="16"/>
      <c r="P133" s="16"/>
      <c r="Q133" s="16"/>
      <c r="R133" s="16"/>
      <c r="S133" s="16"/>
      <c r="T133" s="16"/>
      <c r="U133" s="16"/>
      <c r="V133" s="17"/>
      <c r="W133" s="662"/>
      <c r="X133" s="24">
        <f ca="1">Horarios!C133</f>
        <v>46214.708333333336</v>
      </c>
      <c r="Y133" s="25">
        <f ca="1">Horarios!C133</f>
        <v>46214.708333333336</v>
      </c>
      <c r="Z133" s="282">
        <f t="shared" si="324"/>
        <v>99</v>
      </c>
      <c r="AA133" s="88" t="str">
        <f t="shared" ca="1" si="325"/>
        <v>Brasil</v>
      </c>
      <c r="AB133" s="89"/>
      <c r="AC133" s="99">
        <v>3</v>
      </c>
      <c r="AD133" s="99">
        <v>1</v>
      </c>
      <c r="AE133" s="89"/>
      <c r="AF133" s="116" t="str">
        <f ca="1">+INDEX($N$101:$N$147,MATCH(AH133,$J$101:$J$147,0))</f>
        <v>México</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63"/>
      <c r="X134" s="28">
        <f ca="1">Horarios!C134</f>
        <v>46214.875</v>
      </c>
      <c r="Y134" s="29">
        <f ca="1">Horarios!C134</f>
        <v>46214.875</v>
      </c>
      <c r="Z134" s="283">
        <f t="shared" si="324"/>
        <v>100</v>
      </c>
      <c r="AA134" s="93" t="str">
        <f t="shared" ca="1" si="325"/>
        <v>Argentina</v>
      </c>
      <c r="AB134" s="94"/>
      <c r="AC134" s="100">
        <v>2</v>
      </c>
      <c r="AD134" s="100">
        <v>1</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46217.625</v>
      </c>
      <c r="Y138" s="25">
        <f ca="1">Horarios!C138</f>
        <v>46217.625</v>
      </c>
      <c r="Z138" s="282">
        <f t="shared" ref="Z138:Z139" si="326">AH138</f>
        <v>101</v>
      </c>
      <c r="AA138" s="88" t="str">
        <f t="shared" ref="AA138:AA139" ca="1" si="327">+INDEX($M$101:$M$147,MATCH(AH138,$J$101:$J$147,0))</f>
        <v>Francia</v>
      </c>
      <c r="AB138" s="89"/>
      <c r="AC138" s="101">
        <v>3</v>
      </c>
      <c r="AD138" s="101">
        <v>4</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46218.625</v>
      </c>
      <c r="Y139" s="124">
        <f ca="1">Horarios!C139</f>
        <v>46218.625</v>
      </c>
      <c r="Z139" s="284">
        <f t="shared" si="326"/>
        <v>102</v>
      </c>
      <c r="AA139" s="139" t="str">
        <f t="shared" ca="1" si="327"/>
        <v>Brasil</v>
      </c>
      <c r="AB139" s="140">
        <v>5</v>
      </c>
      <c r="AC139" s="100">
        <v>1</v>
      </c>
      <c r="AD139" s="100">
        <v>1</v>
      </c>
      <c r="AE139" s="140">
        <v>4</v>
      </c>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Brasil</v>
      </c>
      <c r="O143" s="16"/>
      <c r="P143" s="16"/>
      <c r="Q143" s="16"/>
      <c r="R143" s="16"/>
      <c r="S143" s="16"/>
      <c r="T143" s="16"/>
      <c r="U143" s="16"/>
      <c r="V143" s="17"/>
      <c r="W143" s="142" t="s">
        <v>503</v>
      </c>
      <c r="X143" s="123">
        <f ca="1">Horarios!C143</f>
        <v>46221.708333333336</v>
      </c>
      <c r="Y143" s="124">
        <f ca="1">Horarios!C143</f>
        <v>46221.708333333336</v>
      </c>
      <c r="Z143" s="285">
        <f>AH143</f>
        <v>103</v>
      </c>
      <c r="AA143" s="104" t="str">
        <f ca="1">IF(AND(OR(AC138="",AD138="")),"L101",IF(AC138&gt;AD138,AF138,IF(AC138&lt;AD138,AA138,IF(AND(AC138=AD138,AB138=AE138),"L101",IF(AND(AC138=AD138,OR(AB138="",AE138="")),"L101",IF(AND(AC138=AD138,AB138&gt;AE138),AF138,AA138))))))</f>
        <v>Francia</v>
      </c>
      <c r="AB143" s="216"/>
      <c r="AC143" s="105">
        <v>3</v>
      </c>
      <c r="AD143" s="105">
        <v>1</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España</v>
      </c>
      <c r="N147" s="16" t="str">
        <f ca="1">+INDEX($D$101:$D$147,MATCH(F147,$AH$101:$AH$147,0))</f>
        <v>Brasil</v>
      </c>
      <c r="O147" s="16"/>
      <c r="P147" s="16"/>
      <c r="Q147" s="16"/>
      <c r="R147" s="16"/>
      <c r="S147" s="16"/>
      <c r="T147" s="16"/>
      <c r="U147" s="16"/>
      <c r="V147" s="17"/>
      <c r="W147" s="143" t="s">
        <v>4</v>
      </c>
      <c r="X147" s="123">
        <f ca="1">Horarios!C147</f>
        <v>46222.625</v>
      </c>
      <c r="Y147" s="124">
        <f ca="1">Horarios!C147</f>
        <v>46222.625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x14ac:dyDescent="0.2"/>
  <cols>
    <col min="1" max="1" width="10.89453125" style="13" customWidth="1"/>
    <col min="2" max="2" width="29.45703125" customWidth="1"/>
    <col min="3" max="3" width="34.97265625" customWidth="1"/>
    <col min="4" max="4" width="12.64453125" style="369" customWidth="1"/>
    <col min="5" max="8" width="10.89453125" style="369" customWidth="1"/>
    <col min="9" max="9" width="3.09375" style="369" customWidth="1"/>
    <col min="10" max="12" width="10.89453125" style="369" customWidth="1"/>
    <col min="13" max="13" width="3.765625" style="369" customWidth="1"/>
    <col min="14" max="14" width="4.70703125" style="369" customWidth="1"/>
    <col min="15" max="15" width="4.03515625" customWidth="1"/>
    <col min="16" max="16" width="4.83984375" customWidth="1"/>
    <col min="17" max="16384" width="10.89453125" style="1" hidden="1"/>
  </cols>
  <sheetData>
    <row r="1" spans="1:14" ht="20.100000000000001" customHeight="1" x14ac:dyDescent="0.25">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x14ac:dyDescent="0.3">
      <c r="A2" s="290"/>
      <c r="B2" s="291"/>
      <c r="C2" s="291"/>
      <c r="D2" s="368"/>
      <c r="E2" s="701"/>
      <c r="F2" s="701"/>
      <c r="G2" s="701"/>
      <c r="H2" s="701"/>
      <c r="I2" s="701"/>
      <c r="J2" s="701"/>
      <c r="K2" s="701"/>
      <c r="L2" s="701"/>
      <c r="M2" s="701"/>
      <c r="N2" s="701"/>
    </row>
    <row r="3" spans="1:14" ht="35.1" customHeight="1" thickBot="1" x14ac:dyDescent="0.3">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x14ac:dyDescent="0.25">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x14ac:dyDescent="0.2">
      <c r="A5" s="353"/>
      <c r="B5" s="354" t="str">
        <f>Idiomas!D125</f>
        <v>FASE DE GRUPOS</v>
      </c>
      <c r="C5" s="346" t="str">
        <f>Home!C10</f>
        <v>8pi</v>
      </c>
      <c r="E5" s="706" t="str">
        <f>Idiomas!D109</f>
        <v>·Si haceis jornada a jornada seguir las instrucciones de cada jornada</v>
      </c>
      <c r="F5" s="706"/>
      <c r="G5" s="706"/>
      <c r="H5" s="706"/>
      <c r="I5" s="706"/>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8.95" customHeight="1" x14ac:dyDescent="0.25">
      <c r="A79" s="353"/>
      <c r="B79" s="358" t="str">
        <f>Idiomas!D126</f>
        <v>POSICIÓN GRUPOS</v>
      </c>
      <c r="C79" s="350"/>
      <c r="D79" s="693"/>
      <c r="E79" s="370"/>
      <c r="F79" s="370"/>
      <c r="G79" s="370"/>
      <c r="H79" s="370"/>
      <c r="I79" s="381"/>
      <c r="J79" s="370"/>
      <c r="K79" s="370"/>
      <c r="L79" s="370"/>
      <c r="M79" s="379"/>
      <c r="N79" s="377"/>
    </row>
    <row r="80" spans="1:14" ht="15" customHeight="1" x14ac:dyDescent="0.2">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x14ac:dyDescent="0.2">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x14ac:dyDescent="0.2">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x14ac:dyDescent="0.2">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x14ac:dyDescent="0.2">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x14ac:dyDescent="0.2">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x14ac:dyDescent="0.2">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x14ac:dyDescent="0.2">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x14ac:dyDescent="0.2">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x14ac:dyDescent="0.2">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x14ac:dyDescent="0.2">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x14ac:dyDescent="0.2">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x14ac:dyDescent="0.2">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x14ac:dyDescent="0.2">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x14ac:dyDescent="0.2">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x14ac:dyDescent="0.2">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x14ac:dyDescent="0.2">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x14ac:dyDescent="0.2">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x14ac:dyDescent="0.2">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x14ac:dyDescent="0.2">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x14ac:dyDescent="0.2">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x14ac:dyDescent="0.2">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x14ac:dyDescent="0.2">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x14ac:dyDescent="0.2">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x14ac:dyDescent="0.2">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x14ac:dyDescent="0.2">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x14ac:dyDescent="0.2">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x14ac:dyDescent="0.2">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x14ac:dyDescent="0.2">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x14ac:dyDescent="0.2">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x14ac:dyDescent="0.2">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x14ac:dyDescent="0.2">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x14ac:dyDescent="0.2">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x14ac:dyDescent="0.2">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x14ac:dyDescent="0.2">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x14ac:dyDescent="0.2">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x14ac:dyDescent="0.2">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x14ac:dyDescent="0.2">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x14ac:dyDescent="0.2">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x14ac:dyDescent="0.2">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x14ac:dyDescent="0.2">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x14ac:dyDescent="0.2">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x14ac:dyDescent="0.2">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x14ac:dyDescent="0.2">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x14ac:dyDescent="0.2">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x14ac:dyDescent="0.2">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x14ac:dyDescent="0.2">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x14ac:dyDescent="0.2">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8.95" customHeight="1" x14ac:dyDescent="0.25">
      <c r="A129" s="353"/>
      <c r="B129" s="358" t="str">
        <f>Idiomas!D127</f>
        <v>CLASIFICADOS PARA DIECISEISAVOS</v>
      </c>
      <c r="C129" s="350"/>
      <c r="D129" s="693"/>
      <c r="E129" s="370"/>
      <c r="F129" s="370"/>
      <c r="G129" s="370"/>
      <c r="H129" s="370"/>
      <c r="I129" s="381"/>
      <c r="J129" s="370"/>
      <c r="K129" s="370"/>
      <c r="L129" s="370"/>
      <c r="M129" s="379"/>
      <c r="N129" s="377"/>
    </row>
    <row r="130" spans="1:14" ht="15" customHeight="1" x14ac:dyDescent="0.2">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x14ac:dyDescent="0.2">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x14ac:dyDescent="0.2">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x14ac:dyDescent="0.2">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x14ac:dyDescent="0.2">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x14ac:dyDescent="0.2">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x14ac:dyDescent="0.2">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x14ac:dyDescent="0.2">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x14ac:dyDescent="0.2">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x14ac:dyDescent="0.2">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x14ac:dyDescent="0.2">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x14ac:dyDescent="0.2">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x14ac:dyDescent="0.2">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x14ac:dyDescent="0.2">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x14ac:dyDescent="0.2">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x14ac:dyDescent="0.2">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x14ac:dyDescent="0.2">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x14ac:dyDescent="0.2">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x14ac:dyDescent="0.2">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x14ac:dyDescent="0.2">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x14ac:dyDescent="0.2">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x14ac:dyDescent="0.2">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x14ac:dyDescent="0.2">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x14ac:dyDescent="0.2">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x14ac:dyDescent="0.2">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x14ac:dyDescent="0.2">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x14ac:dyDescent="0.2">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x14ac:dyDescent="0.2">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x14ac:dyDescent="0.2">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x14ac:dyDescent="0.2">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x14ac:dyDescent="0.2">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x14ac:dyDescent="0.2">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x14ac:dyDescent="0.2">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x14ac:dyDescent="0.25">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x14ac:dyDescent="0.2">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x14ac:dyDescent="0.2">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Brasil-Japón·1|3-0</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Alemania-Paraguay·1|2-1</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Bajos-Marruecos·2|1-2</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Marfil-Noruega·1|2-1</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México-Ecuador·X|1-1</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Congo·1|3-0</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Bélgica-Senegal·1|3-1</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España-Austria·1|3-2</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Portugal-Croacia·X|1-1</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Australia-Egipto·2|1-2</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Verde·1|3-1</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Colombia-Ghana·1|1-0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8.95" customHeight="1" x14ac:dyDescent="0.25">
      <c r="A181" s="353"/>
      <c r="B181" s="358" t="str">
        <f>Idiomas!D129</f>
        <v>CLASIFICADOS PARA OCTAVOS</v>
      </c>
      <c r="C181" s="350"/>
      <c r="D181" s="692"/>
      <c r="E181" s="370"/>
      <c r="F181" s="370"/>
      <c r="G181" s="370"/>
      <c r="H181" s="370"/>
      <c r="I181" s="352"/>
      <c r="J181" s="370"/>
      <c r="K181" s="370"/>
      <c r="L181" s="370"/>
      <c r="M181" s="386"/>
      <c r="N181" s="377"/>
    </row>
    <row r="182" spans="1:14" ht="15" customHeight="1" x14ac:dyDescent="0.2">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x14ac:dyDescent="0.2">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x14ac:dyDescent="0.2">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x14ac:dyDescent="0.2">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x14ac:dyDescent="0.2">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x14ac:dyDescent="0.2">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x14ac:dyDescent="0.2">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x14ac:dyDescent="0.2">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x14ac:dyDescent="0.2">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x14ac:dyDescent="0.2">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x14ac:dyDescent="0.2">
      <c r="A192" s="690"/>
      <c r="B192" s="360" t="str">
        <f t="shared" si="2"/>
        <v>Octavofinalista</v>
      </c>
      <c r="C192" s="349" t="str">
        <f ca="1">WORLDCUP!AF122</f>
        <v>Costa de Marfil</v>
      </c>
      <c r="D192" s="692"/>
      <c r="E192" s="370"/>
      <c r="F192" s="370"/>
      <c r="G192" s="370"/>
      <c r="H192" s="370"/>
      <c r="I192" s="352"/>
      <c r="J192" s="370"/>
      <c r="K192" s="370"/>
      <c r="L192" s="370"/>
      <c r="M192" s="386"/>
      <c r="N192" s="377"/>
    </row>
    <row r="193" spans="1:14" ht="15" customHeight="1" x14ac:dyDescent="0.2">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x14ac:dyDescent="0.2">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x14ac:dyDescent="0.2">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x14ac:dyDescent="0.2">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x14ac:dyDescent="0.2">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8.95"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90"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Canadá-Marruecos·2|0-2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x14ac:dyDescent="0.2">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91"/>
      <c r="E201" s="686"/>
      <c r="F201" s="686"/>
      <c r="G201" s="686"/>
      <c r="H201" s="686"/>
      <c r="I201" s="352"/>
      <c r="J201" s="370"/>
      <c r="K201" s="370"/>
      <c r="L201" s="370"/>
      <c r="M201" s="386"/>
      <c r="N201" s="377"/>
    </row>
    <row r="202" spans="1:14" ht="15" customHeight="1" x14ac:dyDescent="0.2">
      <c r="A202" s="690"/>
      <c r="B202" s="361" t="str">
        <f ca="1">CONCATENATE(WORLDCUP!AA122,"-",WORLDCUP!AF122)</f>
        <v>Brasil-Costa de Marfil</v>
      </c>
      <c r="C202" s="351" t="str">
        <f ca="1">CONCATENATE(WORLDCUP!AA122,"-",WORLDCUP!AF122,"·",IF(WORLDCUP!AC122&gt;WORLDCUP!AD122,1,IF(WORLDCUP!AC122&lt;WORLDCUP!AD122,2,IF(AND(WORLDCUP!AC122=WORLDCUP!AD122,WORLDCUP!AC122&lt;&gt;"",WORLDCUP!AD122&lt;&gt;""),"X",0))),"|",WORLDCUP!AC122,"-",WORLDCUP!AD122)</f>
        <v>Brasil-Costa de Marfil·1|2-1</v>
      </c>
      <c r="D202" s="691"/>
      <c r="E202" s="686"/>
      <c r="F202" s="686"/>
      <c r="G202" s="686"/>
      <c r="H202" s="686"/>
      <c r="I202" s="352"/>
      <c r="J202" s="370"/>
      <c r="K202" s="370"/>
      <c r="L202" s="370"/>
      <c r="M202" s="386"/>
      <c r="N202" s="377"/>
    </row>
    <row r="203" spans="1:14" ht="15" customHeight="1" x14ac:dyDescent="0.2">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México-Inglaterra·X|1-1</v>
      </c>
      <c r="D203" s="691"/>
      <c r="E203" s="686"/>
      <c r="F203" s="686"/>
      <c r="G203" s="686"/>
      <c r="H203" s="686"/>
      <c r="I203" s="352"/>
      <c r="J203" s="370"/>
      <c r="K203" s="370"/>
      <c r="L203" s="370"/>
      <c r="M203" s="386"/>
      <c r="N203" s="377"/>
    </row>
    <row r="204" spans="1:14" ht="15" customHeight="1" x14ac:dyDescent="0.2">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Portugal-España·2|1-3</v>
      </c>
      <c r="D204" s="691"/>
      <c r="E204" s="352"/>
      <c r="F204" s="352"/>
      <c r="G204" s="352"/>
      <c r="H204" s="352"/>
      <c r="I204" s="352"/>
      <c r="J204" s="370"/>
      <c r="K204" s="370"/>
      <c r="L204" s="370"/>
      <c r="M204" s="386"/>
      <c r="N204" s="377"/>
    </row>
    <row r="205" spans="1:14" ht="15" customHeight="1" x14ac:dyDescent="0.2">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Unidos-Bélgica·2|1-2</v>
      </c>
      <c r="D205" s="691"/>
      <c r="E205" s="352"/>
      <c r="F205" s="352"/>
      <c r="G205" s="352"/>
      <c r="H205" s="352"/>
      <c r="I205" s="352"/>
      <c r="J205" s="370"/>
      <c r="K205" s="370"/>
      <c r="L205" s="370"/>
      <c r="M205" s="386"/>
      <c r="N205" s="377"/>
    </row>
    <row r="206" spans="1:14" ht="15" customHeight="1" x14ac:dyDescent="0.2">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Argentina-Egipto·1|3-1</v>
      </c>
      <c r="D206" s="691"/>
      <c r="E206" s="352"/>
      <c r="F206" s="352"/>
      <c r="G206" s="352"/>
      <c r="H206" s="352"/>
      <c r="I206" s="352"/>
      <c r="J206" s="370"/>
      <c r="K206" s="370"/>
      <c r="L206" s="370"/>
      <c r="M206" s="386"/>
      <c r="N206" s="377"/>
    </row>
    <row r="207" spans="1:14" ht="15" customHeight="1" x14ac:dyDescent="0.2">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Suiza-Colombia·2|0-1</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8.95" customHeight="1" x14ac:dyDescent="0.25">
      <c r="A209" s="353"/>
      <c r="B209" s="358" t="str">
        <f>Idiomas!D131</f>
        <v>CLASIFICADOS PARA CUARTOS</v>
      </c>
      <c r="C209" s="350"/>
      <c r="D209" s="691"/>
      <c r="E209" s="370"/>
      <c r="F209" s="370"/>
      <c r="G209" s="370"/>
      <c r="H209" s="370"/>
      <c r="I209" s="352"/>
      <c r="J209" s="370"/>
      <c r="K209" s="370"/>
      <c r="L209" s="370"/>
      <c r="M209" s="386"/>
      <c r="N209" s="377"/>
    </row>
    <row r="210" spans="1:14" ht="15" customHeight="1" x14ac:dyDescent="0.2">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x14ac:dyDescent="0.2">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x14ac:dyDescent="0.2">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x14ac:dyDescent="0.2">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x14ac:dyDescent="0.2">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x14ac:dyDescent="0.2">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x14ac:dyDescent="0.2">
      <c r="A216" s="690"/>
      <c r="B216" s="360" t="str">
        <f t="shared" si="3"/>
        <v>Cuartofinalista</v>
      </c>
      <c r="C216" s="349" t="str">
        <f ca="1">WORLDCUP!AF133</f>
        <v>México</v>
      </c>
      <c r="D216" s="691"/>
      <c r="E216" s="370"/>
      <c r="F216" s="370"/>
      <c r="G216" s="370"/>
      <c r="H216" s="370"/>
      <c r="I216" s="352"/>
      <c r="J216" s="370"/>
      <c r="K216" s="370"/>
      <c r="L216" s="370"/>
      <c r="M216" s="386"/>
      <c r="N216" s="377"/>
    </row>
    <row r="217" spans="1:14" ht="15" customHeight="1" x14ac:dyDescent="0.2">
      <c r="A217" s="690"/>
      <c r="B217" s="360" t="str">
        <f t="shared" si="3"/>
        <v>Cuartofinalista</v>
      </c>
      <c r="C217" s="349" t="str">
        <f ca="1">WORLDCUP!AF134</f>
        <v>Colombia</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8.75"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x14ac:dyDescent="0.2">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España-Bélgica·1|2-0</v>
      </c>
      <c r="D221" s="692"/>
      <c r="E221" s="686"/>
      <c r="F221" s="686"/>
      <c r="G221" s="686"/>
      <c r="H221" s="686"/>
      <c r="I221" s="352"/>
      <c r="J221" s="370"/>
      <c r="K221" s="370"/>
      <c r="L221" s="370"/>
      <c r="M221" s="386"/>
      <c r="N221" s="377"/>
    </row>
    <row r="222" spans="1:14" ht="15" customHeight="1" x14ac:dyDescent="0.2">
      <c r="A222" s="690"/>
      <c r="B222" s="360" t="str">
        <f ca="1">CONCATENATE(WORLDCUP!AA133,"-",WORLDCUP!AF133)</f>
        <v>Brasil-México</v>
      </c>
      <c r="C222" s="349" t="str">
        <f ca="1">CONCATENATE(WORLDCUP!AA133,"-",WORLDCUP!AF133,"·",IF(WORLDCUP!AC133&gt;WORLDCUP!AD133,1,IF(WORLDCUP!AC133&lt;WORLDCUP!AD133,2,IF(AND(WORLDCUP!AC133=WORLDCUP!AD133,WORLDCUP!AC133&lt;&gt;"",WORLDCUP!AD133&lt;&gt;""),"X",0))),"|",WORLDCUP!AC133,"-",WORLDCUP!AD133)</f>
        <v>Brasil-México·1|3-1</v>
      </c>
      <c r="D222" s="692"/>
      <c r="E222" s="686"/>
      <c r="F222" s="686"/>
      <c r="G222" s="686"/>
      <c r="H222" s="686"/>
      <c r="I222" s="352"/>
      <c r="J222" s="370"/>
      <c r="K222" s="370"/>
      <c r="L222" s="370"/>
      <c r="M222" s="386"/>
      <c r="N222" s="377"/>
    </row>
    <row r="223" spans="1:14" ht="15" customHeight="1" x14ac:dyDescent="0.2">
      <c r="A223" s="690"/>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Argentina-Colombia·1|2-1</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8.75" x14ac:dyDescent="0.25">
      <c r="A225" s="353"/>
      <c r="B225" s="358" t="str">
        <f>Idiomas!D133</f>
        <v>CLASIFICADOS PARA SEMIFINALES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x14ac:dyDescent="0.2">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x14ac:dyDescent="0.2">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x14ac:dyDescent="0.2">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8.95"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Francia-España·2|3-4</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x14ac:dyDescent="0.2">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Brasil-Argentina·X|1-1</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8.75" x14ac:dyDescent="0.2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x14ac:dyDescent="0.2">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x14ac:dyDescent="0.2">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8.95" customHeight="1" x14ac:dyDescent="0.25">
      <c r="A239" s="353"/>
      <c r="B239" s="358" t="str">
        <f>Idiomas!D136</f>
        <v>CLASIFICADOS PARA LA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x14ac:dyDescent="0.2">
      <c r="A241" s="688"/>
      <c r="B241" s="360" t="str">
        <f>B240</f>
        <v>Finalista</v>
      </c>
      <c r="C241" s="349" t="str">
        <f ca="1">WORLDCUP!AF147</f>
        <v>Brasil</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8.75"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Francia-Argentina</v>
      </c>
      <c r="C244" s="349" t="str">
        <f ca="1">CONCATENATE(WORLDCUP!AA143,"-",WORLDCUP!AF143,"·",IF(WORLDCUP!AC143&gt;WORLDCUP!AD143,1,IF(WORLDCUP!AC143&lt;WORLDCUP!AD143,2,IF(AND(WORLDCUP!AC143=WORLDCUP!AD143,WORLDCUP!AC143&lt;&gt;"",WORLDCUP!AD143&lt;&gt;""),"X",0))),"|",WORLDCUP!AC143,"-",WORLDCUP!AD143)</f>
        <v>Francia-Argentina·1|3-1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ENFRENTAMIENTO FINAL</v>
      </c>
      <c r="C246" s="350"/>
      <c r="D246" s="689"/>
      <c r="E246" s="687"/>
      <c r="F246" s="687"/>
      <c r="G246" s="687"/>
      <c r="H246" s="687"/>
      <c r="I246" s="381"/>
      <c r="J246" s="370"/>
      <c r="K246" s="370"/>
      <c r="L246" s="370"/>
      <c r="M246" s="386"/>
      <c r="N246" s="377"/>
    </row>
    <row r="247" spans="1:14" ht="15" customHeight="1" x14ac:dyDescent="0.2">
      <c r="A247" s="362" t="s">
        <v>4</v>
      </c>
      <c r="B247" s="360" t="str">
        <f ca="1">CONCATENATE(WORLDCUP!AA147,"-",WORLDCUP!AF147)</f>
        <v>España-Brasil</v>
      </c>
      <c r="C247" s="351" t="str">
        <f ca="1">CONCATENATE(WORLDCUP!AA147,"-",WORLDCUP!AF147,"·",IF(WORLDCUP!AC147&gt;WORLDCUP!AD147,1,IF(WORLDCUP!AC147&lt;WORLDCUP!AD147,2,IF(AND(WORLDCUP!AC147=WORLDCUP!AD147,WORLDCUP!AC147&lt;&gt;"",WORLDCUP!AD147&lt;&gt;""),"X",0))),"|",WORLDCUP!AC147,"-",WORLDCUP!AD147)</f>
        <v>España-Brasil·1|2-1</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8.95" customHeight="1" x14ac:dyDescent="0.25">
      <c r="A249" s="353"/>
      <c r="B249" s="358" t="str">
        <f>Idiomas!D139</f>
        <v>CUADRO DE HONOR</v>
      </c>
      <c r="C249" s="350"/>
      <c r="D249" s="689"/>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Mbappe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x14ac:dyDescent="0.2">
      <c r="A254" s="366"/>
      <c r="B254" s="360" t="str">
        <f>WORLDCUP!W155</f>
        <v>Bota de Plata (2º máximo goleador)</v>
      </c>
      <c r="C254" s="349" t="str">
        <f>WORLDCUP!AA155</f>
        <v>Messi</v>
      </c>
      <c r="D254" s="371"/>
      <c r="E254" s="685"/>
      <c r="F254" s="685"/>
      <c r="G254" s="685"/>
      <c r="H254" s="685"/>
      <c r="I254" s="392"/>
      <c r="J254" s="392"/>
      <c r="K254" s="392"/>
      <c r="L254" s="393"/>
      <c r="M254" s="393"/>
      <c r="N254" s="377"/>
    </row>
    <row r="255" spans="1:14" ht="15" customHeight="1" x14ac:dyDescent="0.2">
      <c r="A255" s="366"/>
      <c r="B255" s="360" t="str">
        <f>WORLDCUP!W156</f>
        <v>Bota de Bronce (3º máximo goleador)</v>
      </c>
      <c r="C255" s="349" t="str">
        <f>WORLDCUP!AA156</f>
        <v>Vinicius</v>
      </c>
      <c r="D255" s="371"/>
      <c r="E255" s="685"/>
      <c r="F255" s="685"/>
      <c r="G255" s="685"/>
      <c r="H255" s="685"/>
      <c r="I255" s="392"/>
      <c r="J255" s="392"/>
      <c r="K255" s="392"/>
      <c r="L255" s="393"/>
      <c r="M255" s="393"/>
      <c r="N255" s="377"/>
    </row>
    <row r="256" spans="1:14" ht="15" customHeight="1" x14ac:dyDescent="0.2">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x14ac:dyDescent="0.2">
      <c r="A257" s="364"/>
      <c r="B257" s="360" t="str">
        <f>WORLDCUP!W159</f>
        <v>Balón de Plata (2º mejor jugador)</v>
      </c>
      <c r="C257" s="349" t="str">
        <f>WORLDCUP!AA159</f>
        <v>Vinicius</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Messi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x14ac:dyDescent="0.2"/>
  <cols>
    <col min="1" max="1" width="3.2265625" style="186" customWidth="1"/>
    <col min="2" max="2" width="2.6875" style="9" customWidth="1"/>
    <col min="3" max="3" width="5.6484375" style="3" bestFit="1" customWidth="1"/>
    <col min="4" max="5" width="3.2265625" style="3" customWidth="1"/>
    <col min="6" max="6" width="6.1875" style="3" customWidth="1"/>
    <col min="7" max="7" width="2.41796875" style="3" bestFit="1" customWidth="1"/>
    <col min="8" max="9" width="3.8984375" style="3" customWidth="1"/>
    <col min="10" max="10" width="4.4375" style="3" customWidth="1"/>
    <col min="11" max="11" width="5.24609375" style="3" customWidth="1"/>
    <col min="12" max="12" width="3.2265625" style="3" hidden="1" customWidth="1"/>
    <col min="13" max="13" width="1.74609375" style="186" customWidth="1"/>
    <col min="14" max="14" width="2.6875" style="9" customWidth="1"/>
    <col min="15" max="15" width="4.3046875" style="3" bestFit="1" customWidth="1"/>
    <col min="16" max="17" width="3.2265625" style="3" customWidth="1"/>
    <col min="18" max="18" width="5.109375" style="3" bestFit="1" customWidth="1"/>
    <col min="19" max="19" width="2.41796875" style="3" bestFit="1" customWidth="1"/>
    <col min="20" max="20" width="4.3046875" style="3" bestFit="1" customWidth="1"/>
    <col min="21" max="22" width="3.765625" style="3" customWidth="1"/>
    <col min="23" max="23" width="4.83984375" style="3" customWidth="1"/>
    <col min="24" max="24" width="4.3046875" style="186" hidden="1" customWidth="1"/>
    <col min="25" max="25" width="2.82421875" style="9" customWidth="1"/>
    <col min="26" max="26" width="7.3984375" style="9" bestFit="1" customWidth="1"/>
    <col min="27" max="27" width="9.81640625" style="3" customWidth="1"/>
    <col min="28" max="29" width="4.3046875" style="3" customWidth="1"/>
    <col min="30" max="30" width="2.82421875" style="9" customWidth="1"/>
    <col min="31" max="31" width="9.81640625" style="3" customWidth="1"/>
    <col min="32" max="33" width="4.3046875" style="3" customWidth="1"/>
    <col min="34" max="34" width="2.82421875" style="9" customWidth="1"/>
    <col min="35" max="35" width="9.81640625" style="3" customWidth="1"/>
    <col min="36" max="37" width="4.3046875" style="3" customWidth="1"/>
    <col min="38" max="38" width="2.82421875" style="9" customWidth="1"/>
    <col min="39" max="39" width="9.81640625" style="3" customWidth="1"/>
    <col min="40" max="41" width="4.3046875" style="3" customWidth="1"/>
    <col min="42" max="42" width="2.82421875" style="9" customWidth="1"/>
    <col min="43" max="43" width="9.81640625" style="3" customWidth="1"/>
    <col min="44" max="45" width="4.3046875" style="3" customWidth="1"/>
    <col min="46" max="46" width="2.82421875" style="9" customWidth="1"/>
    <col min="47" max="47" width="9.81640625" style="3" customWidth="1"/>
    <col min="48" max="49" width="4.3046875" style="3" customWidth="1"/>
    <col min="50" max="50" width="4.03515625" style="3" bestFit="1" customWidth="1"/>
    <col min="51" max="51" width="3.2265625" style="3" customWidth="1"/>
    <col min="52" max="54" width="7.80078125" style="3" customWidth="1"/>
    <col min="55" max="55" width="3.2265625" style="3" customWidth="1"/>
    <col min="56" max="58" width="2.41796875" style="3" bestFit="1" customWidth="1"/>
    <col min="59" max="59" width="20.84765625" style="3" customWidth="1"/>
    <col min="60" max="67" width="4.83984375" style="3" customWidth="1"/>
    <col min="68" max="69" width="10.89453125" style="3" customWidth="1"/>
    <col min="70" max="16384" width="10.89453125" style="3" hidden="1"/>
  </cols>
  <sheetData>
    <row r="1" spans="1:67" ht="8.1"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( 3 )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( 4 )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75"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75"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3</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4</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( 3 )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0</v>
      </c>
      <c r="BJ18" s="464">
        <f ca="1">COUNTIF(Pool!$C$182:$C$197,Fixture!BG18)-BK18-BL18-BM18-BN18-BO18</f>
        <v>1</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2</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3</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Cos</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1</v>
      </c>
      <c r="BK29" s="465">
        <f ca="1">COUNTIF(Pool!$C$210:$C$217,Fixture!BG29)-BL29-BM29-BN29-BO29</f>
        <v>0</v>
      </c>
      <c r="BL29" s="465">
        <f ca="1">COUNTIF(Pool!$C$226:$C$229,Fixture!BG29)-BM29-BN29-BO29</f>
        <v>0</v>
      </c>
      <c r="BM29" s="463">
        <f ca="1">COUNTIF(Pool!$C$252,Fixture!BG29)</f>
        <v>0</v>
      </c>
      <c r="BN29" s="463">
        <f ca="1">COUNTIF(Pool!$C$251,Fixture!BG29)</f>
        <v>0</v>
      </c>
      <c r="BO29" s="466">
        <f ca="1">COUNTIF(Pool!$C$250,Fixture!BG29)</f>
        <v>0</v>
      </c>
    </row>
    <row r="30" spans="1:67" ht="15.75"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3</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Méx</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( 4 )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1</v>
      </c>
      <c r="AC34" s="454" t="str">
        <f>+IF(ISBLANK(INDEX(WORLDCUP!$AE$101:$AE$147,MATCH(Y34,WORLDCUP!$Z$101:$Z$147,0))),"","( "&amp;INDEX(WORLDCUP!$AE$101:$AE$147,MATCH(Y34,WORLDCUP!$Z$101:$Z$147,0))&amp;" )")</f>
        <v>( 3 )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( 4 )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( 3 )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0</v>
      </c>
      <c r="BK35" s="465">
        <f ca="1">COUNTIF(Pool!$C$210:$C$217,Fixture!BG35)-BL35-BM35-BN35-BO35</f>
        <v>1</v>
      </c>
      <c r="BL35" s="465">
        <f ca="1">COUNTIF(Pool!$C$226:$C$229,Fixture!BG35)-BM35-BN35-BO35</f>
        <v>0</v>
      </c>
      <c r="BM35" s="463">
        <f ca="1">COUNTIF(Pool!$C$252,Fixture!BG35)</f>
        <v>0</v>
      </c>
      <c r="BN35" s="463">
        <f ca="1">COUNTIF(Pool!$C$251,Fixture!BG35)</f>
        <v>0</v>
      </c>
      <c r="BO35" s="466">
        <f ca="1">COUNTIF(Pool!$C$250,Fixture!BG35)</f>
        <v>0</v>
      </c>
    </row>
    <row r="36" spans="1:67" ht="15.75"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( 5 )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3</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5.75"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0-4</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3" width="10.89453125" style="16"/>
    <col min="4" max="4" width="17.21875" style="16" bestFit="1" customWidth="1"/>
    <col min="5" max="6" width="10.89453125" style="16"/>
    <col min="7" max="7" width="17.21875" style="16" bestFit="1" customWidth="1"/>
    <col min="8" max="8" width="13.046875" style="16" customWidth="1"/>
    <col min="9" max="9" width="10.89453125" style="16"/>
    <col min="10" max="10" width="13.046875" style="16" bestFit="1" customWidth="1"/>
    <col min="11" max="12" width="12.23828125" style="16" bestFit="1" customWidth="1"/>
    <col min="13" max="16384" width="10.8945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9453125" defaultRowHeight="15" x14ac:dyDescent="0.2"/>
  <cols>
    <col min="1" max="1" width="9.4140625" style="16" bestFit="1" customWidth="1"/>
    <col min="2" max="2" width="6.05078125" style="16" bestFit="1" customWidth="1"/>
    <col min="3" max="13" width="10.89453125" style="16"/>
    <col min="14" max="14" width="9.4140625" style="16" bestFit="1" customWidth="1"/>
    <col min="15" max="15" width="6.45703125" style="16" bestFit="1" customWidth="1"/>
    <col min="16" max="16384" width="10.8945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1" width="2.95703125" style="5" customWidth="1"/>
    <col min="2" max="2" width="15.87109375" style="5" customWidth="1"/>
    <col min="3" max="3" width="35.91796875" style="5" customWidth="1"/>
    <col min="4" max="4" width="0.40234375" style="5" customWidth="1"/>
    <col min="5" max="5" width="10.89453125" style="5"/>
    <col min="6" max="6" width="0.40234375" style="5" customWidth="1"/>
    <col min="7" max="9" width="10.89453125" style="5"/>
    <col min="10" max="10" width="10.89453125" style="5" customWidth="1"/>
    <col min="11" max="11" width="4.03515625" style="5" customWidth="1"/>
    <col min="12" max="12" width="19.1015625" style="5" customWidth="1"/>
    <col min="13" max="13" width="10.89453125" style="5"/>
    <col min="14" max="17" width="15.87109375" style="5" customWidth="1"/>
    <col min="18" max="18" width="22.8671875" style="5" customWidth="1"/>
    <col min="20" max="20" width="10.89453125" style="16"/>
    <col min="21" max="22" width="10.89453125" style="582"/>
    <col min="23" max="24" width="10.89453125" style="582" hidden="1" customWidth="1"/>
    <col min="25" max="25" width="10.89453125" style="582"/>
    <col min="26" max="28" width="10.89453125" style="407"/>
    <col min="29" max="149" width="10.89453125" style="5"/>
    <col min="150" max="158" width="10.89453125" style="407"/>
    <col min="159" max="16384" width="10.8945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100000000000001"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5.75" thickBot="1" x14ac:dyDescent="0.25">
      <c r="A33" s="227"/>
      <c r="K33" s="227"/>
    </row>
    <row r="34" spans="1:17" ht="27.95"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7.95"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3.950000000000003"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x14ac:dyDescent="0.2">
      <c r="L89" s="3"/>
      <c r="M89" s="3"/>
      <c r="N89" s="3"/>
      <c r="O89" s="6"/>
      <c r="P89" s="6"/>
      <c r="Q89" s="6"/>
      <c r="R89" s="6"/>
      <c r="T89" s="16" t="s">
        <v>1479</v>
      </c>
      <c r="U89" s="9" t="s">
        <v>1466</v>
      </c>
      <c r="V89" s="9" t="s">
        <v>1466</v>
      </c>
      <c r="W89" s="585" t="s">
        <v>1468</v>
      </c>
      <c r="X89" s="584" t="e" vm="4">
        <v>#VALUE!</v>
      </c>
      <c r="Y89" s="9">
        <v>-4</v>
      </c>
      <c r="Z89" s="6"/>
      <c r="AA89" s="6"/>
      <c r="AB89" s="6"/>
    </row>
    <row r="90" spans="12:28"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x14ac:dyDescent="0.2">
      <c r="L92" s="3"/>
      <c r="M92" s="3"/>
      <c r="N92" s="409" t="s">
        <v>1458</v>
      </c>
      <c r="O92" s="409" t="s">
        <v>1459</v>
      </c>
      <c r="P92" s="409" t="s">
        <v>1493</v>
      </c>
      <c r="Q92" s="409" t="s">
        <v>1481</v>
      </c>
      <c r="R92" s="409" t="s">
        <v>1473</v>
      </c>
      <c r="Z92" s="6"/>
      <c r="AA92" s="6"/>
      <c r="AB92" s="6"/>
    </row>
    <row r="93" spans="12:28" ht="24.9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53125" defaultRowHeight="15" customHeight="1" x14ac:dyDescent="0.2"/>
  <cols>
    <col min="1" max="1" width="6.859375" style="6" bestFit="1" customWidth="1"/>
    <col min="2" max="2" width="16.8125" style="6" customWidth="1"/>
    <col min="3" max="3" width="11.43359375" style="6" customWidth="1"/>
    <col min="4" max="4" width="8.875" style="6" bestFit="1" customWidth="1"/>
    <col min="5" max="5" width="11.296875" style="6" customWidth="1"/>
    <col min="6" max="6" width="15.33203125" style="6" customWidth="1"/>
    <col min="7" max="7" width="4.16796875" style="6" bestFit="1" customWidth="1"/>
    <col min="8" max="8" width="20.4453125" style="6"/>
    <col min="9" max="9" width="13.046875" style="6" customWidth="1"/>
    <col min="10" max="10" width="11.97265625" style="6" customWidth="1"/>
    <col min="11" max="11" width="20.4453125" style="6"/>
    <col min="12" max="13" width="0" style="6" hidden="1" customWidth="1"/>
    <col min="14" max="14" width="4.4375" style="616" customWidth="1"/>
    <col min="15" max="16384" width="20.445312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9453125" defaultRowHeight="15" x14ac:dyDescent="0.2"/>
  <cols>
    <col min="1" max="1" width="13.1796875" style="14" bestFit="1" customWidth="1"/>
    <col min="2" max="2" width="4.9765625" style="14" customWidth="1"/>
    <col min="3" max="3" width="12.375" style="14" customWidth="1"/>
    <col min="4" max="4" width="13.1796875" style="14" customWidth="1"/>
    <col min="5" max="5" width="12.23828125" style="14" bestFit="1" customWidth="1"/>
    <col min="6" max="6" width="10.89453125" style="14"/>
    <col min="7" max="7" width="12.23828125" style="14" bestFit="1" customWidth="1"/>
    <col min="8" max="9" width="10.89453125" style="14"/>
    <col min="10" max="10" width="13.44921875" style="14" customWidth="1"/>
    <col min="11" max="15" width="10.89453125" style="14"/>
    <col min="16" max="16" width="4.83984375" style="14" bestFit="1" customWidth="1"/>
    <col min="17" max="17" width="17.890625" style="14" bestFit="1" customWidth="1"/>
    <col min="18" max="18" width="11.1640625" style="14" bestFit="1" customWidth="1"/>
    <col min="19" max="19" width="11.02734375" style="14" bestFit="1" customWidth="1"/>
    <col min="20" max="20" width="10.22265625" style="14" bestFit="1" customWidth="1"/>
    <col min="21" max="21" width="10.35546875" style="14" customWidth="1"/>
    <col min="22" max="22" width="10.22265625" style="14" customWidth="1"/>
    <col min="23" max="23" width="3.2265625" style="14" bestFit="1" customWidth="1"/>
    <col min="24" max="26" width="10.89453125" style="14"/>
    <col min="27" max="27" width="6.45703125" style="14" customWidth="1"/>
    <col min="28" max="33" width="10.89453125" style="14"/>
    <col min="34" max="34" width="3.2265625" style="14" bestFit="1" customWidth="1"/>
    <col min="35" max="16384" width="10.8945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x14ac:dyDescent="0.2">
      <c r="A3" s="9" t="s">
        <v>41</v>
      </c>
      <c r="B3" s="16"/>
      <c r="C3" s="16">
        <f ca="1">+IFERROR(INDEX($P$3:$P$86,MATCH(Home!$C$8,Horarios!$Q$3:$Q$86,0)),INDEX($P$3:$P$86,MATCH(1,$T$3:$T$86,0)))</f>
        <v>22</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x14ac:dyDescent="0.2">
      <c r="A4" s="594">
        <v>46184.625</v>
      </c>
      <c r="B4" s="16"/>
      <c r="C4" s="594">
        <f t="shared" ref="C4:C9" ca="1" si="2">A4+INDEX($V$3:$V$86,MATCH($C$3,$P$3:$P$86,0))*INDEX($W$3:$W$86,MATCH($C$3,$P$3:$P$86,0))</f>
        <v>46184.625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x14ac:dyDescent="0.2">
      <c r="A5" s="594">
        <v>46184.916666666664</v>
      </c>
      <c r="B5" s="16"/>
      <c r="C5" s="594">
        <f t="shared" ca="1" si="2"/>
        <v>46184.916666666664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x14ac:dyDescent="0.2">
      <c r="A6" s="594">
        <v>46191.5</v>
      </c>
      <c r="B6" s="16"/>
      <c r="C6" s="594">
        <f t="shared" ca="1" si="2"/>
        <v>46191.5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x14ac:dyDescent="0.2">
      <c r="A7" s="594">
        <v>46191.875</v>
      </c>
      <c r="B7" s="16"/>
      <c r="C7" s="594">
        <f t="shared" ca="1" si="2"/>
        <v>46191.875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x14ac:dyDescent="0.2">
      <c r="A8" s="594">
        <v>46197.875</v>
      </c>
      <c r="B8" s="16"/>
      <c r="C8" s="594">
        <f t="shared" ca="1" si="2"/>
        <v>46197.875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x14ac:dyDescent="0.2">
      <c r="A9" s="594">
        <v>46197.875</v>
      </c>
      <c r="B9" s="16"/>
      <c r="C9" s="594">
        <f t="shared" ca="1" si="2"/>
        <v>46197.875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x14ac:dyDescent="0.2">
      <c r="A12" s="594">
        <v>46185.625</v>
      </c>
      <c r="B12" s="16"/>
      <c r="C12" s="594">
        <f t="shared" ref="C12:C17" ca="1" si="9">A12+INDEX($V$3:$V$86,MATCH($C$3,$P$3:$P$86,0))*INDEX($W$3:$W$86,MATCH($C$3,$P$3:$P$86,0))</f>
        <v>46185.625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x14ac:dyDescent="0.2">
      <c r="A13" s="594">
        <v>46186.625</v>
      </c>
      <c r="B13" s="16"/>
      <c r="C13" s="594">
        <f t="shared" ca="1" si="9"/>
        <v>46186.625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x14ac:dyDescent="0.2">
      <c r="A14" s="594">
        <v>46191.625</v>
      </c>
      <c r="B14" s="16"/>
      <c r="C14" s="594">
        <f t="shared" ca="1" si="9"/>
        <v>46191.625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x14ac:dyDescent="0.2">
      <c r="A15" s="594">
        <v>46191.75</v>
      </c>
      <c r="B15" s="16"/>
      <c r="C15" s="594">
        <f t="shared" ca="1" si="9"/>
        <v>46191.75</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x14ac:dyDescent="0.2">
      <c r="A16" s="594">
        <v>46197.625</v>
      </c>
      <c r="B16" s="16"/>
      <c r="C16" s="594">
        <f t="shared" ca="1" si="9"/>
        <v>46197.625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x14ac:dyDescent="0.2">
      <c r="A17" s="594">
        <v>46197.625</v>
      </c>
      <c r="B17" s="16"/>
      <c r="C17" s="594">
        <f t="shared" ca="1" si="9"/>
        <v>46197.625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x14ac:dyDescent="0.2">
      <c r="A20" s="594">
        <v>46186.75</v>
      </c>
      <c r="B20" s="16"/>
      <c r="C20" s="594">
        <f t="shared" ref="C20:C25" ca="1" si="11">A20+INDEX($V$3:$V$86,MATCH($C$3,$P$3:$P$86,0))*INDEX($W$3:$W$86,MATCH($C$3,$P$3:$P$86,0))</f>
        <v>46186.75</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x14ac:dyDescent="0.2">
      <c r="A21" s="594">
        <v>46186.875</v>
      </c>
      <c r="B21" s="16"/>
      <c r="C21" s="594">
        <f t="shared" ca="1" si="11"/>
        <v>46186.875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x14ac:dyDescent="0.2">
      <c r="A22" s="594">
        <v>46192.75</v>
      </c>
      <c r="B22" s="16"/>
      <c r="C22" s="594">
        <f t="shared" ca="1" si="11"/>
        <v>46192.75</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x14ac:dyDescent="0.2">
      <c r="A23" s="594">
        <v>46192.854166666664</v>
      </c>
      <c r="B23" s="16"/>
      <c r="C23" s="594">
        <f t="shared" ca="1" si="11"/>
        <v>46192.854166666664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x14ac:dyDescent="0.2">
      <c r="A24" s="594">
        <v>46197.75</v>
      </c>
      <c r="B24" s="16"/>
      <c r="C24" s="594">
        <f t="shared" ca="1" si="11"/>
        <v>46197.75</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x14ac:dyDescent="0.2">
      <c r="A25" s="594">
        <v>46197.75</v>
      </c>
      <c r="B25" s="16"/>
      <c r="C25" s="594">
        <f t="shared" ca="1" si="11"/>
        <v>46197.75</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x14ac:dyDescent="0.2">
      <c r="A28" s="594">
        <v>46185.875</v>
      </c>
      <c r="B28" s="16"/>
      <c r="C28" s="594">
        <f t="shared" ref="C28:C33" ca="1" si="13">A28+INDEX($V$3:$V$86,MATCH($C$3,$P$3:$P$86,0))*INDEX($W$3:$W$86,MATCH($C$3,$P$3:$P$86,0))</f>
        <v>46185.875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x14ac:dyDescent="0.2">
      <c r="A29" s="594">
        <v>46187</v>
      </c>
      <c r="B29" s="16"/>
      <c r="C29" s="594">
        <f t="shared" ca="1" si="13"/>
        <v>46187</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x14ac:dyDescent="0.2">
      <c r="A30" s="594">
        <v>46192.625</v>
      </c>
      <c r="B30" s="16"/>
      <c r="C30" s="594">
        <f t="shared" ca="1" si="13"/>
        <v>46192.625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x14ac:dyDescent="0.2">
      <c r="A31" s="594">
        <v>46192.958333333336</v>
      </c>
      <c r="B31" s="16"/>
      <c r="C31" s="594">
        <f t="shared" ca="1" si="13"/>
        <v>46192.958333333336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x14ac:dyDescent="0.2">
      <c r="A32" s="594">
        <v>46198.916666666664</v>
      </c>
      <c r="B32" s="16"/>
      <c r="C32" s="594">
        <f t="shared" ca="1" si="13"/>
        <v>46198.916666666664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x14ac:dyDescent="0.2">
      <c r="A33" s="594">
        <v>46198.916666666664</v>
      </c>
      <c r="B33" s="16"/>
      <c r="C33" s="594">
        <f t="shared" ca="1" si="13"/>
        <v>46198.916666666664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x14ac:dyDescent="0.2">
      <c r="A36" s="594">
        <v>46187.541666666664</v>
      </c>
      <c r="B36" s="16"/>
      <c r="C36" s="594">
        <f t="shared" ref="C36:C41" ca="1" si="15">A36+INDEX($V$3:$V$86,MATCH($C$3,$P$3:$P$86,0))*INDEX($W$3:$W$86,MATCH($C$3,$P$3:$P$86,0))</f>
        <v>46187.541666666664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x14ac:dyDescent="0.2">
      <c r="A37" s="594">
        <v>46187.791666666664</v>
      </c>
      <c r="B37" s="16"/>
      <c r="C37" s="594">
        <f t="shared" ca="1" si="15"/>
        <v>46187.791666666664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x14ac:dyDescent="0.2">
      <c r="A38" s="594">
        <v>46193.666666666664</v>
      </c>
      <c r="B38" s="16"/>
      <c r="C38" s="594">
        <f t="shared" ca="1" si="15"/>
        <v>46193.666666666664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x14ac:dyDescent="0.2">
      <c r="A39" s="594">
        <v>46193.833333333336</v>
      </c>
      <c r="B39" s="16"/>
      <c r="C39" s="594">
        <f t="shared" ca="1" si="15"/>
        <v>46193.833333333336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x14ac:dyDescent="0.2">
      <c r="A40" s="594">
        <v>46198.666666666664</v>
      </c>
      <c r="B40" s="16"/>
      <c r="C40" s="594">
        <f t="shared" ca="1" si="15"/>
        <v>46198.666666666664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x14ac:dyDescent="0.2">
      <c r="A41" s="594">
        <v>46198.666666666664</v>
      </c>
      <c r="B41" s="16"/>
      <c r="C41" s="594">
        <f t="shared" ca="1" si="15"/>
        <v>46198.666666666664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x14ac:dyDescent="0.2">
      <c r="A44" s="594">
        <v>46187.666666666664</v>
      </c>
      <c r="B44" s="16"/>
      <c r="C44" s="594">
        <f t="shared" ref="C44:C49" ca="1" si="17">A44+INDEX($V$3:$V$86,MATCH($C$3,$P$3:$P$86,0))*INDEX($W$3:$W$86,MATCH($C$3,$P$3:$P$86,0))</f>
        <v>46187.666666666664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46187.916666666664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46193.541666666664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46198.791666666664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46198.791666666664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46188.625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46188.875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46194.625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46194.875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46199.958333333336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46199.958333333336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46188.75</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46194.75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46199.833333333336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46199.833333333336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46189.625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46189.75</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46195.708333333336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46195.833333333336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46199.625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46199.625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46189.875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46195.541666666664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46195.958333333336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46200.916666666664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46200.916666666664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46190.541666666664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46190.916666666664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46196.541666666664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46196.916666666664</v>
      </c>
      <c r="D87" s="622"/>
    </row>
    <row r="88" spans="1:35" x14ac:dyDescent="0.2">
      <c r="A88" s="594">
        <v>46200.8125</v>
      </c>
      <c r="B88" s="16"/>
      <c r="C88" s="594">
        <f t="shared" ca="1" si="35"/>
        <v>46200.8125</v>
      </c>
      <c r="D88" s="622"/>
    </row>
    <row r="89" spans="1:35" x14ac:dyDescent="0.2">
      <c r="A89" s="594">
        <v>46200.8125</v>
      </c>
      <c r="B89" s="16"/>
      <c r="C89" s="594">
        <f t="shared" ca="1" si="35"/>
        <v>46200.8125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46190.666666666664</v>
      </c>
      <c r="D92" s="622"/>
    </row>
    <row r="93" spans="1:35" x14ac:dyDescent="0.2">
      <c r="A93" s="594">
        <v>46190.791666666664</v>
      </c>
      <c r="B93" s="16"/>
      <c r="C93" s="594">
        <f t="shared" ca="1" si="36"/>
        <v>46190.791666666664</v>
      </c>
      <c r="D93" s="622"/>
    </row>
    <row r="94" spans="1:35" x14ac:dyDescent="0.2">
      <c r="A94" s="594">
        <v>46196.666666666664</v>
      </c>
      <c r="B94" s="16"/>
      <c r="C94" s="594">
        <f t="shared" ca="1" si="36"/>
        <v>46196.666666666664</v>
      </c>
      <c r="D94" s="622"/>
    </row>
    <row r="95" spans="1:35" x14ac:dyDescent="0.2">
      <c r="A95" s="594">
        <v>46196.791666666664</v>
      </c>
      <c r="B95" s="16"/>
      <c r="C95" s="594">
        <f t="shared" ca="1" si="36"/>
        <v>46196.791666666664</v>
      </c>
      <c r="D95" s="622"/>
    </row>
    <row r="96" spans="1:35" x14ac:dyDescent="0.2">
      <c r="A96" s="594">
        <v>46200.708333333336</v>
      </c>
      <c r="B96" s="16"/>
      <c r="C96" s="594">
        <f t="shared" ca="1" si="36"/>
        <v>46200.708333333336</v>
      </c>
      <c r="D96" s="622"/>
    </row>
    <row r="97" spans="1:10" x14ac:dyDescent="0.2">
      <c r="A97" s="594">
        <v>46200.708333333336</v>
      </c>
      <c r="B97" s="16"/>
      <c r="C97" s="594">
        <f t="shared" ca="1" si="36"/>
        <v>46200.708333333336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46201.625</v>
      </c>
      <c r="F101" s="16">
        <v>73</v>
      </c>
      <c r="G101" s="594">
        <v>46201.625</v>
      </c>
      <c r="I101" s="16">
        <v>73</v>
      </c>
      <c r="J101" s="594">
        <v>46201.625</v>
      </c>
    </row>
    <row r="102" spans="1:10" x14ac:dyDescent="0.2">
      <c r="A102" s="594">
        <v>46202.541666666664</v>
      </c>
      <c r="B102" s="16"/>
      <c r="C102" s="594">
        <f t="shared" ca="1" si="37"/>
        <v>46202.541666666664</v>
      </c>
      <c r="F102" s="16">
        <v>76</v>
      </c>
      <c r="G102" s="594">
        <v>46202.541666666664</v>
      </c>
      <c r="I102" s="16">
        <v>74</v>
      </c>
      <c r="J102" s="594">
        <v>46202.6875</v>
      </c>
    </row>
    <row r="103" spans="1:10" x14ac:dyDescent="0.2">
      <c r="A103" s="594">
        <v>46202.6875</v>
      </c>
      <c r="B103" s="16"/>
      <c r="C103" s="594">
        <f t="shared" ca="1" si="37"/>
        <v>46202.6875</v>
      </c>
      <c r="F103" s="16">
        <v>74</v>
      </c>
      <c r="G103" s="594">
        <v>46202.6875</v>
      </c>
      <c r="I103" s="16">
        <v>75</v>
      </c>
      <c r="J103" s="594">
        <v>46202.875</v>
      </c>
    </row>
    <row r="104" spans="1:10" x14ac:dyDescent="0.2">
      <c r="A104" s="594">
        <v>46202.875</v>
      </c>
      <c r="B104" s="16"/>
      <c r="C104" s="594">
        <f t="shared" ca="1" si="37"/>
        <v>46202.875</v>
      </c>
      <c r="F104" s="16">
        <v>75</v>
      </c>
      <c r="G104" s="594">
        <v>46202.875</v>
      </c>
      <c r="I104" s="16">
        <v>76</v>
      </c>
      <c r="J104" s="594">
        <v>46202.541666666664</v>
      </c>
    </row>
    <row r="105" spans="1:10" x14ac:dyDescent="0.2">
      <c r="A105" s="594">
        <v>46203.541666666664</v>
      </c>
      <c r="B105" s="16"/>
      <c r="C105" s="594">
        <f t="shared" ca="1" si="37"/>
        <v>46203.541666666664</v>
      </c>
      <c r="F105" s="16">
        <v>78</v>
      </c>
      <c r="G105" s="594">
        <v>46203.541666666664</v>
      </c>
      <c r="I105" s="16">
        <v>77</v>
      </c>
      <c r="J105" s="594">
        <v>46203.708333333336</v>
      </c>
    </row>
    <row r="106" spans="1:10" x14ac:dyDescent="0.2">
      <c r="A106" s="594">
        <v>46203.708333333336</v>
      </c>
      <c r="B106" s="16"/>
      <c r="C106" s="594">
        <f t="shared" ca="1" si="37"/>
        <v>46203.708333333336</v>
      </c>
      <c r="F106" s="16">
        <v>77</v>
      </c>
      <c r="G106" s="594">
        <v>46203.708333333336</v>
      </c>
      <c r="I106" s="16">
        <v>78</v>
      </c>
      <c r="J106" s="594">
        <v>46203.541666666664</v>
      </c>
    </row>
    <row r="107" spans="1:10" x14ac:dyDescent="0.2">
      <c r="A107" s="594">
        <v>46203.875</v>
      </c>
      <c r="B107" s="16"/>
      <c r="C107" s="594">
        <f t="shared" ca="1" si="37"/>
        <v>46203.875</v>
      </c>
      <c r="F107" s="16">
        <v>79</v>
      </c>
      <c r="G107" s="594">
        <v>46203.875</v>
      </c>
      <c r="I107" s="16">
        <v>79</v>
      </c>
      <c r="J107" s="594">
        <v>46203.875</v>
      </c>
    </row>
    <row r="108" spans="1:10" x14ac:dyDescent="0.2">
      <c r="A108" s="594">
        <v>46204.5</v>
      </c>
      <c r="B108" s="16"/>
      <c r="C108" s="594">
        <f t="shared" ca="1" si="37"/>
        <v>46204.5</v>
      </c>
      <c r="F108" s="16">
        <v>80</v>
      </c>
      <c r="G108" s="594">
        <v>46204.5</v>
      </c>
      <c r="I108" s="16">
        <v>80</v>
      </c>
      <c r="J108" s="594">
        <v>46204.5</v>
      </c>
    </row>
    <row r="109" spans="1:10" x14ac:dyDescent="0.2">
      <c r="A109" s="594">
        <v>46204.666666666664</v>
      </c>
      <c r="B109" s="16"/>
      <c r="C109" s="594">
        <f t="shared" ca="1" si="37"/>
        <v>46204.666666666664</v>
      </c>
      <c r="F109" s="16">
        <v>82</v>
      </c>
      <c r="G109" s="594">
        <v>46204.666666666664</v>
      </c>
      <c r="I109" s="16">
        <v>81</v>
      </c>
      <c r="J109" s="594">
        <v>46204.833333333336</v>
      </c>
    </row>
    <row r="110" spans="1:10" x14ac:dyDescent="0.2">
      <c r="A110" s="594">
        <v>46204.833333333336</v>
      </c>
      <c r="B110" s="16"/>
      <c r="C110" s="594">
        <f t="shared" ca="1" si="37"/>
        <v>46204.833333333336</v>
      </c>
      <c r="F110" s="16">
        <v>81</v>
      </c>
      <c r="G110" s="594">
        <v>46204.833333333336</v>
      </c>
      <c r="I110" s="16">
        <v>82</v>
      </c>
      <c r="J110" s="594">
        <v>46204.666666666664</v>
      </c>
    </row>
    <row r="111" spans="1:10" x14ac:dyDescent="0.2">
      <c r="A111" s="594">
        <v>46205.625</v>
      </c>
      <c r="B111" s="16"/>
      <c r="C111" s="594">
        <f t="shared" ca="1" si="37"/>
        <v>46205.625</v>
      </c>
      <c r="F111" s="16">
        <v>84</v>
      </c>
      <c r="G111" s="594">
        <v>46205.625</v>
      </c>
      <c r="I111" s="16">
        <v>83</v>
      </c>
      <c r="J111" s="594">
        <v>46205.791666666664</v>
      </c>
    </row>
    <row r="112" spans="1:10" x14ac:dyDescent="0.2">
      <c r="A112" s="594">
        <v>46205.791666666664</v>
      </c>
      <c r="B112" s="16"/>
      <c r="C112" s="594">
        <f t="shared" ca="1" si="37"/>
        <v>46205.791666666664</v>
      </c>
      <c r="F112" s="16">
        <v>83</v>
      </c>
      <c r="G112" s="594">
        <v>46205.791666666664</v>
      </c>
      <c r="I112" s="16">
        <v>84</v>
      </c>
      <c r="J112" s="594">
        <v>46205.625</v>
      </c>
    </row>
    <row r="113" spans="1:10" x14ac:dyDescent="0.2">
      <c r="A113" s="594">
        <v>46205.958333333336</v>
      </c>
      <c r="B113" s="16"/>
      <c r="C113" s="594">
        <f t="shared" ca="1" si="37"/>
        <v>46205.958333333336</v>
      </c>
      <c r="F113" s="16">
        <v>85</v>
      </c>
      <c r="G113" s="594">
        <v>46205.958333333336</v>
      </c>
      <c r="I113" s="16">
        <v>85</v>
      </c>
      <c r="J113" s="594">
        <v>46205.958333333336</v>
      </c>
    </row>
    <row r="114" spans="1:10" x14ac:dyDescent="0.2">
      <c r="A114" s="594">
        <v>46206.583333333336</v>
      </c>
      <c r="B114" s="16"/>
      <c r="C114" s="594">
        <f t="shared" ca="1" si="37"/>
        <v>46206.583333333336</v>
      </c>
      <c r="F114" s="16">
        <v>88</v>
      </c>
      <c r="G114" s="594">
        <v>46206.583333333336</v>
      </c>
      <c r="I114" s="16">
        <v>86</v>
      </c>
      <c r="J114" s="594">
        <v>46206.75</v>
      </c>
    </row>
    <row r="115" spans="1:10" x14ac:dyDescent="0.2">
      <c r="A115" s="594">
        <v>46206.75</v>
      </c>
      <c r="B115" s="16"/>
      <c r="C115" s="594">
        <f t="shared" ca="1" si="37"/>
        <v>46206.75</v>
      </c>
      <c r="F115" s="16">
        <v>86</v>
      </c>
      <c r="G115" s="594">
        <v>46206.75</v>
      </c>
      <c r="I115" s="16">
        <v>87</v>
      </c>
      <c r="J115" s="594">
        <v>46206.895833333336</v>
      </c>
    </row>
    <row r="116" spans="1:10" x14ac:dyDescent="0.2">
      <c r="A116" s="594">
        <v>46206.895833333336</v>
      </c>
      <c r="B116" s="16"/>
      <c r="C116" s="594">
        <f t="shared" ca="1" si="37"/>
        <v>46206.895833333336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46207.541666666664</v>
      </c>
      <c r="D120" s="622"/>
      <c r="F120" s="16">
        <v>90</v>
      </c>
      <c r="G120" s="594">
        <v>46207.541666666664</v>
      </c>
      <c r="I120" s="16">
        <v>89</v>
      </c>
      <c r="J120" s="594">
        <v>46207.708333333336</v>
      </c>
    </row>
    <row r="121" spans="1:10" x14ac:dyDescent="0.2">
      <c r="A121" s="594">
        <v>46207.708333333336</v>
      </c>
      <c r="B121" s="16"/>
      <c r="C121" s="594">
        <f t="shared" ca="1" si="38"/>
        <v>46207.708333333336</v>
      </c>
      <c r="D121" s="622"/>
      <c r="F121" s="16">
        <v>89</v>
      </c>
      <c r="G121" s="594">
        <v>46207.708333333336</v>
      </c>
      <c r="I121" s="16">
        <v>90</v>
      </c>
      <c r="J121" s="594">
        <v>46207.541666666664</v>
      </c>
    </row>
    <row r="122" spans="1:10" x14ac:dyDescent="0.2">
      <c r="A122" s="594">
        <v>46208.666666666664</v>
      </c>
      <c r="B122" s="16"/>
      <c r="C122" s="594">
        <f t="shared" ca="1" si="38"/>
        <v>46208.666666666664</v>
      </c>
      <c r="D122" s="622"/>
      <c r="F122" s="16">
        <v>91</v>
      </c>
      <c r="G122" s="594">
        <v>46208.666666666664</v>
      </c>
      <c r="I122" s="16">
        <v>91</v>
      </c>
      <c r="J122" s="594">
        <v>46208.666666666664</v>
      </c>
    </row>
    <row r="123" spans="1:10" x14ac:dyDescent="0.2">
      <c r="A123" s="594">
        <v>46208.833333333336</v>
      </c>
      <c r="B123" s="16"/>
      <c r="C123" s="594">
        <f t="shared" ca="1" si="38"/>
        <v>46208.833333333336</v>
      </c>
      <c r="D123" s="622"/>
      <c r="F123" s="16">
        <v>92</v>
      </c>
      <c r="G123" s="594">
        <v>46208.833333333336</v>
      </c>
      <c r="I123" s="16">
        <v>92</v>
      </c>
      <c r="J123" s="594">
        <v>46208.833333333336</v>
      </c>
    </row>
    <row r="124" spans="1:10" x14ac:dyDescent="0.2">
      <c r="A124" s="594">
        <v>46209.625</v>
      </c>
      <c r="B124" s="16"/>
      <c r="C124" s="594">
        <f t="shared" ca="1" si="38"/>
        <v>46209.625</v>
      </c>
      <c r="D124" s="622"/>
      <c r="F124" s="16">
        <v>93</v>
      </c>
      <c r="G124" s="594">
        <v>46209.625</v>
      </c>
      <c r="I124" s="16">
        <v>93</v>
      </c>
      <c r="J124" s="594">
        <v>46209.625</v>
      </c>
    </row>
    <row r="125" spans="1:10" x14ac:dyDescent="0.2">
      <c r="A125" s="594">
        <v>46209.833333333336</v>
      </c>
      <c r="B125" s="16"/>
      <c r="C125" s="594">
        <f t="shared" ca="1" si="38"/>
        <v>46209.833333333336</v>
      </c>
      <c r="D125" s="622"/>
      <c r="F125" s="16">
        <v>94</v>
      </c>
      <c r="G125" s="594">
        <v>46209.833333333336</v>
      </c>
      <c r="I125" s="16">
        <v>94</v>
      </c>
      <c r="J125" s="594">
        <v>46209.833333333336</v>
      </c>
    </row>
    <row r="126" spans="1:10" x14ac:dyDescent="0.2">
      <c r="A126" s="594">
        <v>46210.5</v>
      </c>
      <c r="B126" s="16"/>
      <c r="C126" s="594">
        <f t="shared" ca="1" si="38"/>
        <v>46210.5</v>
      </c>
      <c r="D126" s="622"/>
      <c r="F126" s="16">
        <v>95</v>
      </c>
      <c r="G126" s="594">
        <v>46210.5</v>
      </c>
      <c r="I126" s="16">
        <v>95</v>
      </c>
      <c r="J126" s="594">
        <v>46210.5</v>
      </c>
    </row>
    <row r="127" spans="1:10" x14ac:dyDescent="0.2">
      <c r="A127" s="594">
        <v>46210.666666666664</v>
      </c>
      <c r="B127" s="16"/>
      <c r="C127" s="594">
        <f t="shared" ca="1" si="38"/>
        <v>46210.666666666664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46212.666666666664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46213.625</v>
      </c>
      <c r="D132" s="622"/>
      <c r="F132" s="16">
        <v>98</v>
      </c>
      <c r="G132" s="594">
        <v>46213.625</v>
      </c>
      <c r="I132" s="16">
        <v>98</v>
      </c>
      <c r="J132" s="594">
        <v>46213.625</v>
      </c>
    </row>
    <row r="133" spans="1:10" x14ac:dyDescent="0.2">
      <c r="A133" s="594">
        <v>46214.708333333336</v>
      </c>
      <c r="B133" s="16"/>
      <c r="C133" s="594">
        <f ca="1">A133+INDEX($V$3:$V$86,MATCH($C$3,$P$3:$P$86,0))*INDEX($W$3:$W$86,MATCH($C$3,$P$3:$P$86,0))</f>
        <v>46214.708333333336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46214.875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46217.625</v>
      </c>
      <c r="D138" s="622"/>
    </row>
    <row r="139" spans="1:10" x14ac:dyDescent="0.2">
      <c r="A139" s="594">
        <v>46218.625</v>
      </c>
      <c r="B139" s="16"/>
      <c r="C139" s="594">
        <f ca="1">A139+INDEX($V$3:$V$86,MATCH($C$3,$P$3:$P$86,0))*INDEX($W$3:$W$86,MATCH($C$3,$P$3:$P$86,0))</f>
        <v>46218.625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46221.708333333336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46222.625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Lidia&amp;8piMini</cp:lastModifiedBy>
  <cp:lastPrinted>2018-12-06T18:06:35Z</cp:lastPrinted>
  <dcterms:created xsi:type="dcterms:W3CDTF">2015-10-31T09:41:54Z</dcterms:created>
  <dcterms:modified xsi:type="dcterms:W3CDTF">2026-06-28T07:07:35Z</dcterms:modified>
</cp:coreProperties>
</file>