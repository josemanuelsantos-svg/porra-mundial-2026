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D:\Perfiles\amb95\Desktop\"/>
    </mc:Choice>
  </mc:AlternateContent>
  <xr:revisionPtr revIDLastSave="0" documentId="13_ncr:1_{FF502F36-5138-49FF-AFB5-F34924A6CAE8}"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04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l="1"/>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F62" i="3"/>
  <c r="BU36" i="3"/>
  <c r="F64" i="3"/>
  <c r="BU35" i="3" s="1"/>
  <c r="F72" i="3"/>
  <c r="BU41" i="3" s="1"/>
  <c r="E68" i="3"/>
  <c r="BW38" i="3"/>
  <c r="E70" i="3"/>
  <c r="BU24" i="3" l="1"/>
  <c r="BW37" i="3"/>
  <c r="BU30" i="3"/>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6" i="3"/>
  <c r="H78" i="3"/>
  <c r="I24" i="3"/>
  <c r="H23" i="3"/>
  <c r="H20" i="3"/>
  <c r="H8" i="3" l="1"/>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4" i="3"/>
  <c r="L87" i="3"/>
  <c r="K24" i="3"/>
  <c r="L13" i="3" l="1"/>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1" i="3" l="1"/>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61" i="3"/>
  <c r="N96" i="3"/>
  <c r="O97" i="3"/>
  <c r="O93" i="3"/>
  <c r="N95" i="3"/>
  <c r="CI36" i="3" l="1"/>
  <c r="CI30" i="3"/>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L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I15" i="3" l="1"/>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38" i="3" l="1"/>
  <c r="CM53" i="3" s="1"/>
  <c r="CL14" i="3"/>
  <c r="CM30" i="3" s="1"/>
  <c r="CM43" i="3"/>
  <c r="CM20" i="3"/>
  <c r="CM44" i="3"/>
  <c r="CM19" i="3"/>
  <c r="CM11" i="3"/>
  <c r="CM10" i="3"/>
  <c r="CM32" i="3"/>
  <c r="CM7" i="3"/>
  <c r="CM6" i="3"/>
  <c r="CM29" i="3"/>
  <c r="CM39" i="3"/>
  <c r="CM41" i="3"/>
  <c r="CM51" i="3"/>
  <c r="CM36" i="3"/>
  <c r="CM27" i="3"/>
  <c r="CM25" i="3"/>
  <c r="CM23" i="3"/>
  <c r="CM52" i="3"/>
  <c r="CM37" i="3"/>
  <c r="CM12" i="3" l="1"/>
  <c r="CM8" i="3"/>
  <c r="CM9" i="3"/>
  <c r="CM13" i="3"/>
  <c r="CM28" i="3"/>
  <c r="CM24" i="3"/>
  <c r="CM42" i="3"/>
  <c r="CM26" i="3"/>
  <c r="CM22" i="3"/>
  <c r="CM14" i="3"/>
  <c r="CM49" i="3"/>
  <c r="CM47" i="3"/>
  <c r="CM17" i="3"/>
  <c r="CM35" i="3"/>
  <c r="CM34" i="3"/>
  <c r="CM31" i="3"/>
  <c r="CM18" i="3"/>
  <c r="CM15" i="3"/>
  <c r="CM38" i="3"/>
  <c r="CM21" i="3"/>
  <c r="CM40" i="3"/>
  <c r="CM16" i="3"/>
  <c r="CM33" i="3"/>
  <c r="CM48" i="3"/>
  <c r="CM46" i="3"/>
  <c r="CM50" i="3"/>
  <c r="CM45" i="3"/>
  <c r="CN10" i="3" l="1"/>
  <c r="Q15" i="3" s="1"/>
  <c r="CN8" i="3"/>
  <c r="Q5" i="3" s="1"/>
  <c r="CN39" i="3"/>
  <c r="R71" i="3" s="1"/>
  <c r="CN52" i="3"/>
  <c r="R97" i="3" s="1"/>
  <c r="CN24" i="3"/>
  <c r="Q37" i="3" s="1"/>
  <c r="CN27" i="3"/>
  <c r="R47" i="3" s="1"/>
  <c r="CN29" i="3"/>
  <c r="Q47" i="3" s="1"/>
  <c r="CN9" i="3"/>
  <c r="Q6" i="3" s="1"/>
  <c r="CN6" i="3"/>
  <c r="Q7" i="3" s="1"/>
  <c r="CN15" i="3"/>
  <c r="Q25" i="3" s="1"/>
  <c r="CN45" i="3"/>
  <c r="Q79" i="3" s="1"/>
  <c r="CN40" i="3"/>
  <c r="R73" i="3" s="1"/>
  <c r="CN35" i="3"/>
  <c r="R63" i="3" s="1"/>
  <c r="CN20" i="3"/>
  <c r="R33" i="3" s="1"/>
  <c r="CN41" i="3"/>
  <c r="Q71" i="3" s="1"/>
  <c r="CN11" i="3"/>
  <c r="R14" i="3" s="1"/>
  <c r="CN50" i="3"/>
  <c r="Q94" i="3" s="1"/>
  <c r="CN31" i="3"/>
  <c r="R52" i="3" s="1"/>
  <c r="CN53" i="3"/>
  <c r="Q95" i="3" s="1"/>
  <c r="CN22" i="3"/>
  <c r="Q36" i="3" s="1"/>
  <c r="CN17" i="3"/>
  <c r="Q24" i="3" s="1"/>
  <c r="CN18" i="3"/>
  <c r="Q28" i="3" s="1"/>
  <c r="CN30" i="3"/>
  <c r="R57" i="3" s="1"/>
  <c r="CN34" i="3"/>
  <c r="R65" i="3" s="1"/>
  <c r="CN16" i="3"/>
  <c r="R25" i="3" s="1"/>
  <c r="CN46" i="3"/>
  <c r="Q84" i="3" s="1"/>
  <c r="CN23" i="3"/>
  <c r="R36" i="3" s="1"/>
  <c r="CN13" i="3"/>
  <c r="R13" i="3" s="1"/>
  <c r="CN12" i="3"/>
  <c r="R15" i="3" s="1"/>
  <c r="CN42" i="3"/>
  <c r="Q76" i="3" s="1"/>
  <c r="CN28" i="3"/>
  <c r="R46" i="3" s="1"/>
  <c r="CN19" i="3"/>
  <c r="Q33" i="3" s="1"/>
  <c r="CN7" i="3"/>
  <c r="R4" i="3" s="1"/>
  <c r="CN44" i="3"/>
  <c r="R80" i="3" s="1"/>
  <c r="CN37" i="3"/>
  <c r="R61" i="3" s="1"/>
  <c r="CN51" i="3"/>
  <c r="R92" i="3" s="1"/>
  <c r="CN49" i="3"/>
  <c r="Q87" i="3" s="1"/>
  <c r="CN26" i="3"/>
  <c r="Q44" i="3" s="1"/>
  <c r="CN14" i="3"/>
  <c r="Q20" i="3" s="1"/>
  <c r="CN21" i="3"/>
  <c r="Q32" i="3" s="1"/>
  <c r="CN43" i="3"/>
  <c r="R76" i="3" s="1"/>
  <c r="CN33" i="3"/>
  <c r="Q57" i="3" s="1"/>
  <c r="CN38" i="3"/>
  <c r="Q70" i="3" s="1"/>
  <c r="CN48" i="3"/>
  <c r="R86" i="3" s="1"/>
  <c r="CN47" i="3"/>
  <c r="Q89" i="3" s="1"/>
  <c r="CN36" i="3"/>
  <c r="R64" i="3" s="1"/>
  <c r="CN32" i="3"/>
  <c r="Q53" i="3" s="1"/>
  <c r="CN25" i="3"/>
  <c r="R37" i="3" s="1"/>
  <c r="Q9" i="3"/>
  <c r="R6" i="3"/>
  <c r="R40" i="3"/>
  <c r="R38" i="3"/>
  <c r="CP22" i="3" s="1"/>
  <c r="Q69" i="3"/>
  <c r="R70" i="3"/>
  <c r="Q72" i="3"/>
  <c r="R69" i="3"/>
  <c r="Q12" i="3"/>
  <c r="Q93" i="3"/>
  <c r="R16" i="3"/>
  <c r="Q21" i="3"/>
  <c r="Q38" i="3"/>
  <c r="R23" i="3"/>
  <c r="Q14" i="3"/>
  <c r="R55" i="3"/>
  <c r="R41" i="3"/>
  <c r="R7" i="3"/>
  <c r="R95" i="3"/>
  <c r="Q56" i="3"/>
  <c r="CP12" i="3"/>
  <c r="R9" i="3"/>
  <c r="Q92" i="3"/>
  <c r="CP51" i="3" s="1"/>
  <c r="R94" i="3"/>
  <c r="CP50" i="3" s="1"/>
  <c r="Q52" i="3"/>
  <c r="Q54" i="3"/>
  <c r="R45" i="3"/>
  <c r="Q49" i="3"/>
  <c r="Q64" i="3"/>
  <c r="R8" i="3"/>
  <c r="R60" i="3"/>
  <c r="Q4" i="3"/>
  <c r="CO22" i="3"/>
  <c r="Q16" i="3" l="1"/>
  <c r="R77" i="3"/>
  <c r="Q96" i="3"/>
  <c r="R68" i="3"/>
  <c r="R93" i="3"/>
  <c r="Q73" i="3"/>
  <c r="CP45" i="3"/>
  <c r="Q81" i="3"/>
  <c r="R39" i="3"/>
  <c r="CO12" i="3"/>
  <c r="Q22" i="3"/>
  <c r="Q13" i="3"/>
  <c r="R17" i="3"/>
  <c r="R21" i="3"/>
  <c r="Q97" i="3"/>
  <c r="CP23" i="3"/>
  <c r="CO23" i="3"/>
  <c r="CO9" i="3"/>
  <c r="Q88" i="3"/>
  <c r="Q40" i="3"/>
  <c r="R85" i="3"/>
  <c r="CP47" i="3"/>
  <c r="CO47" i="3"/>
  <c r="R79" i="3"/>
  <c r="CO45" i="3" s="1"/>
  <c r="Q45" i="3"/>
  <c r="Q17" i="3"/>
  <c r="Q31" i="3"/>
  <c r="CO19" i="3" s="1"/>
  <c r="Q60" i="3"/>
  <c r="Q65" i="3"/>
  <c r="Q63" i="3"/>
  <c r="R44" i="3"/>
  <c r="Q80" i="3"/>
  <c r="CP44" i="3" s="1"/>
  <c r="R12" i="3"/>
  <c r="CO10" i="3" s="1"/>
  <c r="R5" i="3"/>
  <c r="CO8" i="3" s="1"/>
  <c r="Q8" i="3"/>
  <c r="R29" i="3"/>
  <c r="R31" i="3"/>
  <c r="R28" i="3"/>
  <c r="Q62" i="3"/>
  <c r="CP36" i="3" s="1"/>
  <c r="R32" i="3"/>
  <c r="CP42" i="3"/>
  <c r="R96" i="3"/>
  <c r="Q29" i="3"/>
  <c r="R88" i="3"/>
  <c r="R81" i="3"/>
  <c r="Q48" i="3"/>
  <c r="R22" i="3"/>
  <c r="Q46" i="3"/>
  <c r="R20" i="3"/>
  <c r="CP14" i="3" s="1"/>
  <c r="R30" i="3"/>
  <c r="CO18" i="3" s="1"/>
  <c r="Q86" i="3"/>
  <c r="Q68" i="3"/>
  <c r="CP39" i="3" s="1"/>
  <c r="Q78" i="3"/>
  <c r="R49" i="3"/>
  <c r="Q30" i="3"/>
  <c r="CO43" i="3"/>
  <c r="CP43" i="3"/>
  <c r="R56" i="3"/>
  <c r="CO15" i="3"/>
  <c r="R48" i="3"/>
  <c r="CO27" i="3" s="1"/>
  <c r="R72" i="3"/>
  <c r="Q23" i="3"/>
  <c r="R24" i="3"/>
  <c r="R84" i="3"/>
  <c r="R87" i="3"/>
  <c r="R54" i="3"/>
  <c r="Q77" i="3"/>
  <c r="R78" i="3"/>
  <c r="R53" i="3"/>
  <c r="Q85" i="3"/>
  <c r="R89" i="3"/>
  <c r="CP33" i="3"/>
  <c r="Q55" i="3"/>
  <c r="CP31" i="3" s="1"/>
  <c r="R62" i="3"/>
  <c r="Q61" i="3"/>
  <c r="CP37" i="3" s="1"/>
  <c r="Q39" i="3"/>
  <c r="Q41" i="3"/>
  <c r="CP53" i="3"/>
  <c r="CO26" i="3"/>
  <c r="CO53" i="3"/>
  <c r="CO35" i="3"/>
  <c r="CP49" i="3"/>
  <c r="CP35" i="3"/>
  <c r="CP34" i="3"/>
  <c r="CP48" i="3"/>
  <c r="CO24" i="3"/>
  <c r="CP38" i="3"/>
  <c r="CP46" i="3"/>
  <c r="CO34" i="3"/>
  <c r="CO50" i="3"/>
  <c r="CQ50" i="3" s="1"/>
  <c r="CQ22" i="3"/>
  <c r="CP40" i="3"/>
  <c r="CO46" i="3"/>
  <c r="CP24" i="3"/>
  <c r="CO21" i="3"/>
  <c r="CO40" i="3"/>
  <c r="CO49" i="3"/>
  <c r="CO48" i="3"/>
  <c r="CO11" i="3"/>
  <c r="CO38" i="3"/>
  <c r="CP32" i="3"/>
  <c r="CP16" i="3"/>
  <c r="CO42" i="3"/>
  <c r="CQ42" i="3" s="1"/>
  <c r="CO32" i="3"/>
  <c r="CP28" i="3"/>
  <c r="CP17" i="3"/>
  <c r="CO28" i="3"/>
  <c r="CP26" i="3"/>
  <c r="CQ26" i="3" s="1"/>
  <c r="CP9" i="3"/>
  <c r="CQ9" i="3" s="1"/>
  <c r="CP15" i="3"/>
  <c r="CP13" i="3"/>
  <c r="CO17" i="3"/>
  <c r="CP21" i="3"/>
  <c r="CP18" i="3"/>
  <c r="CQ18" i="3" s="1"/>
  <c r="CO16"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45" i="3"/>
  <c r="CQ53" i="3"/>
  <c r="CQ47" i="3"/>
  <c r="CP19" i="3" l="1"/>
  <c r="CQ19" i="3" s="1"/>
  <c r="CP10" i="3"/>
  <c r="CQ10" i="3" s="1"/>
  <c r="CO14" i="3"/>
  <c r="CQ14" i="3" s="1"/>
  <c r="CQ36" i="3"/>
  <c r="CO20" i="3"/>
  <c r="CO44" i="3"/>
  <c r="CQ44" i="3" s="1"/>
  <c r="CP20" i="3"/>
  <c r="CQ15" i="3"/>
  <c r="CQ43" i="3"/>
  <c r="CO31" i="3"/>
  <c r="CQ31" i="3" s="1"/>
  <c r="CO37" i="3"/>
  <c r="CQ37" i="3" s="1"/>
  <c r="CO30" i="3"/>
  <c r="CP30" i="3"/>
  <c r="CQ35" i="3"/>
  <c r="CQ49" i="3"/>
  <c r="CQ24" i="3"/>
  <c r="CQ48" i="3"/>
  <c r="CQ34" i="3"/>
  <c r="CQ21" i="3"/>
  <c r="CQ46" i="3"/>
  <c r="CQ16" i="3"/>
  <c r="CQ40" i="3"/>
  <c r="CQ38" i="3"/>
  <c r="CQ11" i="3"/>
  <c r="CQ32" i="3"/>
  <c r="CQ28" i="3"/>
  <c r="CQ13" i="3"/>
  <c r="CQ17" i="3"/>
  <c r="CQ7" i="3"/>
  <c r="CQ6" i="3"/>
  <c r="CQ41" i="3"/>
  <c r="CQ52" i="3"/>
  <c r="CQ29" i="3"/>
  <c r="CQ25" i="3"/>
  <c r="CQ20" i="3" l="1"/>
  <c r="CR44" i="3" s="1"/>
  <c r="CQ30" i="3"/>
  <c r="CR30" i="3" s="1"/>
  <c r="CR50" i="3"/>
  <c r="CR53" i="3"/>
  <c r="CR47" i="3"/>
  <c r="CR48" i="3"/>
  <c r="CR21" i="3"/>
  <c r="CR26" i="3"/>
  <c r="CR41" i="3"/>
  <c r="CR49" i="3"/>
  <c r="CR45" i="3"/>
  <c r="CR43" i="3"/>
  <c r="CR42" i="3"/>
  <c r="CR38" i="3"/>
  <c r="CR33" i="3"/>
  <c r="CR40" i="3"/>
  <c r="CR39" i="3"/>
  <c r="CR19" i="3"/>
  <c r="CR35" i="3"/>
  <c r="CR34" i="3"/>
  <c r="CR24" i="3"/>
  <c r="CR36" i="3"/>
  <c r="CR22" i="3"/>
  <c r="CR28" i="3"/>
  <c r="CR17" i="3"/>
  <c r="CR14" i="3"/>
  <c r="CR15" i="3"/>
  <c r="CR16" i="3"/>
  <c r="CR18" i="3"/>
  <c r="CR10" i="3"/>
  <c r="CR7" i="3"/>
  <c r="CR46" i="3"/>
  <c r="CR11" i="3"/>
  <c r="CR32" i="3"/>
  <c r="CR9" i="3"/>
  <c r="CR6" i="3"/>
  <c r="CR8" i="3"/>
  <c r="CR27" i="3"/>
  <c r="CR13" i="3"/>
  <c r="CR12" i="3"/>
  <c r="CR29" i="3"/>
  <c r="CR37" i="3"/>
  <c r="CR23" i="3"/>
  <c r="CR25" i="3"/>
  <c r="CR51" i="3"/>
  <c r="CR52" i="3"/>
  <c r="CR20" i="3" l="1"/>
  <c r="CR31" i="3"/>
  <c r="CS24" i="3" s="1"/>
  <c r="CS53" i="3" l="1"/>
  <c r="T95" i="3" s="1"/>
  <c r="CS50" i="3"/>
  <c r="T92" i="3" s="1"/>
  <c r="CS7" i="3"/>
  <c r="U4" i="3" s="1"/>
  <c r="CS34" i="3"/>
  <c r="U65" i="3" s="1"/>
  <c r="CS52" i="3"/>
  <c r="T93" i="3" s="1"/>
  <c r="CS28" i="3"/>
  <c r="U48" i="3" s="1"/>
  <c r="CS19" i="3"/>
  <c r="U31" i="3" s="1"/>
  <c r="CS29" i="3"/>
  <c r="U45" i="3" s="1"/>
  <c r="CS21" i="3"/>
  <c r="T31" i="3" s="1"/>
  <c r="CS27" i="3"/>
  <c r="U47" i="3" s="1"/>
  <c r="CS44" i="3"/>
  <c r="U80" i="3" s="1"/>
  <c r="CS41" i="3"/>
  <c r="T71" i="3" s="1"/>
  <c r="CS15" i="3"/>
  <c r="U22" i="3" s="1"/>
  <c r="CS40" i="3"/>
  <c r="U70" i="3" s="1"/>
  <c r="CS32" i="3"/>
  <c r="U56" i="3" s="1"/>
  <c r="CS13" i="3"/>
  <c r="T14" i="3" s="1"/>
  <c r="U40" i="3"/>
  <c r="U38" i="3"/>
  <c r="T37" i="3"/>
  <c r="CS33" i="3"/>
  <c r="U53" i="3" s="1"/>
  <c r="CS37" i="3"/>
  <c r="T63" i="3" s="1"/>
  <c r="CS11" i="3"/>
  <c r="T17" i="3" s="1"/>
  <c r="CS47" i="3"/>
  <c r="U84" i="3" s="1"/>
  <c r="CS14" i="3"/>
  <c r="U24" i="3" s="1"/>
  <c r="CS26" i="3"/>
  <c r="T46" i="3" s="1"/>
  <c r="CS38" i="3"/>
  <c r="T70" i="3" s="1"/>
  <c r="CS31" i="3"/>
  <c r="U55" i="3" s="1"/>
  <c r="CS49" i="3"/>
  <c r="U85" i="3" s="1"/>
  <c r="CS48" i="3"/>
  <c r="U89" i="3" s="1"/>
  <c r="CS22" i="3"/>
  <c r="T38" i="3" s="1"/>
  <c r="CS10" i="3"/>
  <c r="T15" i="3" s="1"/>
  <c r="CS17" i="3"/>
  <c r="T22" i="3" s="1"/>
  <c r="CS51" i="3"/>
  <c r="U92" i="3" s="1"/>
  <c r="CS25" i="3"/>
  <c r="T39" i="3" s="1"/>
  <c r="CS30" i="3"/>
  <c r="T52" i="3" s="1"/>
  <c r="CS12" i="3"/>
  <c r="T13" i="3" s="1"/>
  <c r="CS18" i="3"/>
  <c r="T30" i="3" s="1"/>
  <c r="CS8" i="3"/>
  <c r="U9" i="3" s="1"/>
  <c r="CS20" i="3"/>
  <c r="U30" i="3" s="1"/>
  <c r="CS16" i="3"/>
  <c r="U23" i="3" s="1"/>
  <c r="CS46" i="3"/>
  <c r="U88" i="3" s="1"/>
  <c r="CS6" i="3"/>
  <c r="U8" i="3" s="1"/>
  <c r="CS9" i="3"/>
  <c r="U5" i="3" s="1"/>
  <c r="CS45" i="3"/>
  <c r="T79" i="3" s="1"/>
  <c r="CS39" i="3"/>
  <c r="U71" i="3" s="1"/>
  <c r="CS36" i="3"/>
  <c r="U62" i="3" s="1"/>
  <c r="CS43" i="3"/>
  <c r="T80" i="3" s="1"/>
  <c r="CS23" i="3"/>
  <c r="T40" i="3" s="1"/>
  <c r="CS42" i="3"/>
  <c r="T78" i="3" s="1"/>
  <c r="CS35" i="3"/>
  <c r="U63" i="3" s="1"/>
  <c r="U77" i="3"/>
  <c r="U15" i="3"/>
  <c r="T77" i="3"/>
  <c r="T81" i="3"/>
  <c r="T32" i="3"/>
  <c r="U78" i="3"/>
  <c r="T87" i="3"/>
  <c r="T88" i="3"/>
  <c r="T53" i="3"/>
  <c r="CT33" i="3" s="1"/>
  <c r="U54" i="3"/>
  <c r="U12" i="3"/>
  <c r="T94" i="3"/>
  <c r="U28" i="3"/>
  <c r="T68" i="3"/>
  <c r="U93" i="3"/>
  <c r="T33" i="3"/>
  <c r="U29" i="3"/>
  <c r="T96" i="3"/>
  <c r="U96" i="3"/>
  <c r="CT53" i="3" s="1"/>
  <c r="T44" i="3"/>
  <c r="T72" i="3"/>
  <c r="T57" i="3"/>
  <c r="U94" i="3"/>
  <c r="CT50" i="3" s="1"/>
  <c r="U17" i="3"/>
  <c r="U69" i="3"/>
  <c r="CT40" i="3" s="1"/>
  <c r="T55" i="3"/>
  <c r="U97" i="3"/>
  <c r="U6" i="3"/>
  <c r="T60" i="3"/>
  <c r="T62" i="3"/>
  <c r="T48" i="3"/>
  <c r="U44" i="3"/>
  <c r="T9" i="3"/>
  <c r="CT49" i="3"/>
  <c r="T25" i="3" l="1"/>
  <c r="U20" i="3"/>
  <c r="T65" i="3"/>
  <c r="T7" i="3"/>
  <c r="U72" i="3"/>
  <c r="T4" i="3"/>
  <c r="U73" i="3"/>
  <c r="T45" i="3"/>
  <c r="U46" i="3"/>
  <c r="T69" i="3"/>
  <c r="U14" i="3"/>
  <c r="CT28" i="3"/>
  <c r="U7" i="3"/>
  <c r="U61" i="3"/>
  <c r="CT35" i="3"/>
  <c r="T5" i="3"/>
  <c r="T56" i="3"/>
  <c r="CT32" i="3" s="1"/>
  <c r="T49" i="3"/>
  <c r="U52" i="3"/>
  <c r="CT30" i="3" s="1"/>
  <c r="CT47" i="3"/>
  <c r="U87" i="3"/>
  <c r="T89" i="3"/>
  <c r="T97" i="3"/>
  <c r="CT31" i="3"/>
  <c r="U25" i="3"/>
  <c r="U57" i="3"/>
  <c r="T64" i="3"/>
  <c r="U41" i="3"/>
  <c r="U37" i="3"/>
  <c r="CT24" i="3" s="1"/>
  <c r="U16" i="3"/>
  <c r="T12" i="3"/>
  <c r="U33" i="3"/>
  <c r="T54" i="3"/>
  <c r="U60" i="3"/>
  <c r="CT34" i="3" s="1"/>
  <c r="T36" i="3"/>
  <c r="T41" i="3"/>
  <c r="U76" i="3"/>
  <c r="T85" i="3"/>
  <c r="T47" i="3"/>
  <c r="T23" i="3"/>
  <c r="U39" i="3"/>
  <c r="CT25" i="3" s="1"/>
  <c r="T24" i="3"/>
  <c r="CT14" i="3" s="1"/>
  <c r="CT23" i="3"/>
  <c r="U21" i="3"/>
  <c r="T20" i="3"/>
  <c r="U36" i="3"/>
  <c r="CT22" i="3" s="1"/>
  <c r="T16" i="3"/>
  <c r="U13" i="3"/>
  <c r="CT12" i="3" s="1"/>
  <c r="CT17" i="3"/>
  <c r="T21" i="3"/>
  <c r="T29" i="3"/>
  <c r="U79" i="3"/>
  <c r="T28" i="3"/>
  <c r="T61" i="3"/>
  <c r="CT37" i="3" s="1"/>
  <c r="U86" i="3"/>
  <c r="U32" i="3"/>
  <c r="T8" i="3"/>
  <c r="U64" i="3"/>
  <c r="CT51" i="3"/>
  <c r="U95" i="3"/>
  <c r="U49" i="3"/>
  <c r="T76" i="3"/>
  <c r="CT43" i="3" s="1"/>
  <c r="U81" i="3"/>
  <c r="CT44" i="3"/>
  <c r="T86" i="3"/>
  <c r="T84" i="3"/>
  <c r="T73" i="3"/>
  <c r="T6" i="3"/>
  <c r="U68" i="3"/>
  <c r="CT38" i="3"/>
  <c r="CT7" i="3"/>
  <c r="CT11" i="3"/>
  <c r="CT21" i="3"/>
  <c r="CT48" i="3"/>
  <c r="CT6" i="3"/>
  <c r="CT46" i="3"/>
  <c r="CT42" i="3"/>
  <c r="CT45" i="3"/>
  <c r="CT20" i="3"/>
  <c r="CT26" i="3"/>
  <c r="CT18" i="3"/>
  <c r="CT16" i="3"/>
  <c r="CT13" i="3"/>
  <c r="CT27" i="3"/>
  <c r="CT41" i="3"/>
  <c r="CT39" i="3"/>
  <c r="CT10" i="3"/>
  <c r="CT52" i="3"/>
  <c r="CT29" i="3"/>
  <c r="CT9" i="3"/>
  <c r="CT36" i="3"/>
  <c r="CT8" i="3"/>
  <c r="CT15" i="3" l="1"/>
  <c r="CU30" i="3" s="1"/>
  <c r="CT19" i="3"/>
  <c r="CU43" i="3" s="1"/>
  <c r="CU53" i="3"/>
  <c r="CU47" i="3"/>
  <c r="CU49" i="3"/>
  <c r="CU48" i="3"/>
  <c r="CU45" i="3"/>
  <c r="CU24" i="3"/>
  <c r="CU41" i="3"/>
  <c r="CU21" i="3"/>
  <c r="CU27" i="3"/>
  <c r="CU38" i="3"/>
  <c r="CU26" i="3"/>
  <c r="CU35" i="3"/>
  <c r="CU50" i="3"/>
  <c r="CU18" i="3"/>
  <c r="CU46" i="3"/>
  <c r="CU32" i="3"/>
  <c r="CU33" i="3"/>
  <c r="CU42" i="3"/>
  <c r="CU34" i="3"/>
  <c r="CU17" i="3"/>
  <c r="CU12" i="3"/>
  <c r="CU16" i="3"/>
  <c r="CU40" i="3"/>
  <c r="CU28" i="3"/>
  <c r="CU22" i="3"/>
  <c r="CU29" i="3"/>
  <c r="CU39" i="3"/>
  <c r="CU8" i="3"/>
  <c r="CU25" i="3"/>
  <c r="CU37" i="3"/>
  <c r="CU23" i="3"/>
  <c r="CU9" i="3"/>
  <c r="CU51" i="3"/>
  <c r="CU7" i="3"/>
  <c r="CU6" i="3"/>
  <c r="CU52" i="3"/>
  <c r="CU13" i="3"/>
  <c r="CU36" i="3"/>
  <c r="CU11" i="3" l="1"/>
  <c r="CU31" i="3"/>
  <c r="CU14" i="3"/>
  <c r="CU15" i="3"/>
  <c r="CU20" i="3"/>
  <c r="CU19" i="3"/>
  <c r="CU10" i="3"/>
  <c r="CU44" i="3"/>
  <c r="CV41" i="3" l="1"/>
  <c r="CW41" i="3" s="1"/>
  <c r="CV27" i="3"/>
  <c r="CW27" i="3" s="1"/>
  <c r="CV37" i="3"/>
  <c r="CW37" i="3" s="1"/>
  <c r="CV34" i="3"/>
  <c r="CW34" i="3" s="1"/>
  <c r="CV12" i="3"/>
  <c r="CW12" i="3" s="1"/>
  <c r="CV23" i="3"/>
  <c r="CW23" i="3" s="1"/>
  <c r="CV38" i="3"/>
  <c r="CW38" i="3" s="1"/>
  <c r="CV40" i="3"/>
  <c r="CW40" i="3" s="1"/>
  <c r="CV48" i="3"/>
  <c r="CW48" i="3" s="1"/>
  <c r="CV53" i="3"/>
  <c r="CW53" i="3" s="1"/>
  <c r="CV15" i="3"/>
  <c r="CW15" i="3" s="1"/>
  <c r="CV16" i="3"/>
  <c r="CW16" i="3" s="1"/>
  <c r="CV32" i="3"/>
  <c r="CW32" i="3" s="1"/>
  <c r="CV35" i="3"/>
  <c r="CW35" i="3" s="1"/>
  <c r="CV36" i="3"/>
  <c r="CW36" i="3" s="1"/>
  <c r="CV19" i="3"/>
  <c r="CW19" i="3" s="1"/>
  <c r="CV11" i="3"/>
  <c r="CW11" i="3" s="1"/>
  <c r="CV31" i="3"/>
  <c r="CW31" i="3" s="1"/>
  <c r="CV29" i="3"/>
  <c r="CW29" i="3" s="1"/>
  <c r="CV14" i="3"/>
  <c r="CW14" i="3" s="1"/>
  <c r="CV50" i="3"/>
  <c r="CW50" i="3" s="1"/>
  <c r="CV6" i="3"/>
  <c r="CW6" i="3" s="1"/>
  <c r="CV44" i="3"/>
  <c r="CW44" i="3" s="1"/>
  <c r="CV51" i="3"/>
  <c r="CW51" i="3" s="1"/>
  <c r="CV25" i="3"/>
  <c r="CW25" i="3" s="1"/>
  <c r="CV21" i="3"/>
  <c r="CW21" i="3" s="1"/>
  <c r="CV22" i="3"/>
  <c r="CW22" i="3" s="1"/>
  <c r="CV52" i="3"/>
  <c r="CW52" i="3" s="1"/>
  <c r="CV7" i="3"/>
  <c r="CW7" i="3" s="1"/>
  <c r="CV47" i="3"/>
  <c r="CW47" i="3" s="1"/>
  <c r="CV8" i="3"/>
  <c r="CW8" i="3" s="1"/>
  <c r="CV17" i="3"/>
  <c r="CW17" i="3" s="1"/>
  <c r="CV26" i="3"/>
  <c r="CW26" i="3" s="1"/>
  <c r="CV46" i="3"/>
  <c r="CW46" i="3" s="1"/>
  <c r="CV9" i="3"/>
  <c r="CW9" i="3" s="1"/>
  <c r="CV13" i="3"/>
  <c r="CW13" i="3" s="1"/>
  <c r="CV42" i="3"/>
  <c r="CW42" i="3" s="1"/>
  <c r="CV43" i="3"/>
  <c r="CW43" i="3" s="1"/>
  <c r="CV39" i="3"/>
  <c r="CW39" i="3" s="1"/>
  <c r="CV33" i="3"/>
  <c r="CW33" i="3" s="1"/>
  <c r="CV18" i="3"/>
  <c r="CW18" i="3" s="1"/>
  <c r="CV20" i="3"/>
  <c r="CW20" i="3" s="1"/>
  <c r="CV24" i="3"/>
  <c r="CW24" i="3" s="1"/>
  <c r="CV49" i="3"/>
  <c r="CW49" i="3" s="1"/>
  <c r="CV30" i="3"/>
  <c r="CW30" i="3" s="1"/>
  <c r="CV45" i="3"/>
  <c r="CW45" i="3" s="1"/>
  <c r="CV10" i="3"/>
  <c r="CW10" i="3" s="1"/>
  <c r="CV28" i="3"/>
  <c r="CW28" i="3" s="1"/>
  <c r="CX45" i="3" l="1"/>
  <c r="CX12" i="3"/>
  <c r="CX11" i="3"/>
  <c r="CX17" i="3"/>
  <c r="CX30" i="3"/>
  <c r="CX41" i="3"/>
  <c r="CX29" i="3"/>
  <c r="CX8" i="3"/>
  <c r="CX25" i="3"/>
  <c r="CX16" i="3"/>
  <c r="CX32" i="3"/>
  <c r="CX18" i="3"/>
  <c r="CX7" i="3"/>
  <c r="CX21" i="3"/>
  <c r="CX34" i="3"/>
  <c r="CX9" i="3"/>
  <c r="CX49" i="3"/>
  <c r="CX13" i="3"/>
  <c r="CX48" i="3"/>
  <c r="CX36" i="3"/>
  <c r="CX46" i="3"/>
  <c r="CX52" i="3"/>
  <c r="CX38" i="3"/>
  <c r="CX39" i="3"/>
  <c r="CX6" i="3"/>
  <c r="CX15" i="3"/>
  <c r="CX27" i="3"/>
  <c r="CX24" i="3"/>
  <c r="CX28" i="3"/>
  <c r="CX10" i="3"/>
  <c r="CX53" i="3"/>
  <c r="CX19" i="3"/>
  <c r="CX37" i="3"/>
  <c r="CX51" i="3"/>
  <c r="CX20" i="3"/>
  <c r="CX42" i="3"/>
  <c r="CX43" i="3"/>
  <c r="CX47" i="3"/>
  <c r="CX22" i="3"/>
  <c r="CX23" i="3"/>
  <c r="CX35" i="3"/>
  <c r="CX40" i="3"/>
  <c r="CX26" i="3"/>
  <c r="CX14" i="3"/>
  <c r="CX50" i="3"/>
  <c r="CX31" i="3"/>
  <c r="CX33" i="3"/>
  <c r="CX44" i="3"/>
  <c r="CY20" i="3" l="1"/>
  <c r="CZ20" i="3" s="1"/>
  <c r="CY40" i="3"/>
  <c r="CZ40" i="3" s="1"/>
  <c r="CY47" i="3"/>
  <c r="CZ47" i="3" s="1"/>
  <c r="CY41" i="3"/>
  <c r="CZ41" i="3" s="1"/>
  <c r="CY8" i="3"/>
  <c r="CZ8" i="3" s="1"/>
  <c r="CY46" i="3"/>
  <c r="CZ46" i="3" s="1"/>
  <c r="CY53" i="3"/>
  <c r="CZ53" i="3" s="1"/>
  <c r="CY15" i="3"/>
  <c r="CZ15" i="3" s="1"/>
  <c r="CY30" i="3"/>
  <c r="CZ30" i="3" s="1"/>
  <c r="CY38" i="3"/>
  <c r="CZ38" i="3" s="1"/>
  <c r="CY24" i="3"/>
  <c r="CZ24" i="3" s="1"/>
  <c r="CY26" i="3"/>
  <c r="CZ26" i="3" s="1"/>
  <c r="CY13" i="3"/>
  <c r="CZ13" i="3" s="1"/>
  <c r="CY27" i="3"/>
  <c r="CZ27" i="3" s="1"/>
  <c r="CY12" i="3"/>
  <c r="CZ12" i="3" s="1"/>
  <c r="CY32" i="3"/>
  <c r="CZ32" i="3" s="1"/>
  <c r="CY6" i="3"/>
  <c r="CZ6" i="3" s="1"/>
  <c r="CY44" i="3"/>
  <c r="CZ44" i="3" s="1"/>
  <c r="CY52" i="3"/>
  <c r="CZ52" i="3" s="1"/>
  <c r="CY51" i="3"/>
  <c r="CZ51" i="3" s="1"/>
  <c r="CY50" i="3"/>
  <c r="CZ50" i="3" s="1"/>
  <c r="CY10" i="3"/>
  <c r="CZ10" i="3" s="1"/>
  <c r="CY18" i="3"/>
  <c r="CZ18" i="3" s="1"/>
  <c r="CY48" i="3"/>
  <c r="CZ48" i="3" s="1"/>
  <c r="CY33" i="3"/>
  <c r="CZ33" i="3" s="1"/>
  <c r="CY45" i="3"/>
  <c r="CZ45" i="3" s="1"/>
  <c r="CY36" i="3"/>
  <c r="CZ36" i="3" s="1"/>
  <c r="CY14" i="3"/>
  <c r="CZ14" i="3" s="1"/>
  <c r="CY37" i="3"/>
  <c r="CZ37" i="3" s="1"/>
  <c r="CY31" i="3"/>
  <c r="CZ31" i="3" s="1"/>
  <c r="CY17" i="3"/>
  <c r="CZ17" i="3" s="1"/>
  <c r="CY25" i="3"/>
  <c r="CZ25" i="3" s="1"/>
  <c r="CY39" i="3"/>
  <c r="CZ39" i="3" s="1"/>
  <c r="CY7" i="3"/>
  <c r="CZ7" i="3" s="1"/>
  <c r="CY29" i="3"/>
  <c r="CZ29" i="3" s="1"/>
  <c r="CY34" i="3"/>
  <c r="CZ34" i="3" s="1"/>
  <c r="CY21" i="3"/>
  <c r="CZ21" i="3" s="1"/>
  <c r="CY23" i="3"/>
  <c r="CZ23" i="3" s="1"/>
  <c r="CY9" i="3"/>
  <c r="CZ9" i="3" s="1"/>
  <c r="CY43" i="3"/>
  <c r="CZ43" i="3" s="1"/>
  <c r="CY28" i="3"/>
  <c r="CZ28" i="3" s="1"/>
  <c r="CY22" i="3"/>
  <c r="CZ22" i="3" s="1"/>
  <c r="CY16" i="3"/>
  <c r="CZ16" i="3" s="1"/>
  <c r="CY49" i="3"/>
  <c r="CZ49" i="3" s="1"/>
  <c r="CY35" i="3"/>
  <c r="CZ35" i="3" s="1"/>
  <c r="CY42" i="3"/>
  <c r="CZ42" i="3" s="1"/>
  <c r="CY19" i="3"/>
  <c r="CZ19" i="3" s="1"/>
  <c r="CY11" i="3"/>
  <c r="CZ11" i="3" s="1"/>
  <c r="DA34" i="3" l="1"/>
  <c r="DA45" i="3"/>
  <c r="DA29" i="3"/>
  <c r="DA8" i="3"/>
  <c r="DA20" i="3"/>
  <c r="DA42" i="3"/>
  <c r="DA14" i="3"/>
  <c r="DA23" i="3"/>
  <c r="DA6" i="3"/>
  <c r="DA50" i="3"/>
  <c r="DA7" i="3"/>
  <c r="DA48" i="3"/>
  <c r="DA43" i="3"/>
  <c r="DA44" i="3"/>
  <c r="DA25" i="3"/>
  <c r="DA19" i="3"/>
  <c r="DA40" i="3"/>
  <c r="DA12" i="3"/>
  <c r="DA11" i="3"/>
  <c r="DA9" i="3"/>
  <c r="DA37" i="3"/>
  <c r="DA30" i="3"/>
  <c r="DA49" i="3"/>
  <c r="DA38" i="3"/>
  <c r="DA21" i="3"/>
  <c r="DA10" i="3"/>
  <c r="DA46" i="3"/>
  <c r="DA28" i="3"/>
  <c r="DA36" i="3"/>
  <c r="DA32" i="3"/>
  <c r="DA53" i="3"/>
  <c r="DA22" i="3"/>
  <c r="DA15" i="3"/>
  <c r="DA24" i="3"/>
  <c r="DA33" i="3"/>
  <c r="DA17" i="3"/>
  <c r="DA26" i="3"/>
  <c r="DA18" i="3"/>
  <c r="DA35" i="3"/>
  <c r="DA31" i="3"/>
  <c r="DA39" i="3"/>
  <c r="DA51" i="3"/>
  <c r="DA16" i="3"/>
  <c r="DA13" i="3"/>
  <c r="DA52" i="3"/>
  <c r="DA41" i="3"/>
  <c r="DA47" i="3"/>
  <c r="DA27" i="3"/>
  <c r="DB41" i="3" l="1"/>
  <c r="DC41" i="3" s="1"/>
  <c r="DB9" i="3"/>
  <c r="DC9" i="3" s="1"/>
  <c r="DB24" i="3"/>
  <c r="DC24" i="3" s="1"/>
  <c r="DB31" i="3"/>
  <c r="DC31" i="3" s="1"/>
  <c r="DB39" i="3"/>
  <c r="DC39" i="3" s="1"/>
  <c r="DB40" i="3"/>
  <c r="DC40" i="3" s="1"/>
  <c r="DB25" i="3"/>
  <c r="DC25" i="3" s="1"/>
  <c r="DB36" i="3"/>
  <c r="DC36" i="3" s="1"/>
  <c r="DB34" i="3"/>
  <c r="DC34" i="3" s="1"/>
  <c r="DB28" i="3"/>
  <c r="DC28" i="3" s="1"/>
  <c r="DB48" i="3"/>
  <c r="DC48" i="3" s="1"/>
  <c r="DB27" i="3"/>
  <c r="DC27" i="3" s="1"/>
  <c r="DB30" i="3"/>
  <c r="DC30" i="3" s="1"/>
  <c r="DB47" i="3"/>
  <c r="DC47" i="3" s="1"/>
  <c r="DB44" i="3"/>
  <c r="DC44" i="3" s="1"/>
  <c r="DB49" i="3"/>
  <c r="DC49" i="3" s="1"/>
  <c r="DB35" i="3"/>
  <c r="DC35" i="3" s="1"/>
  <c r="DB32" i="3"/>
  <c r="DC32" i="3" s="1"/>
  <c r="DB42" i="3"/>
  <c r="DC42" i="3" s="1"/>
  <c r="DB53" i="3"/>
  <c r="DC53" i="3" s="1"/>
  <c r="DB23" i="3"/>
  <c r="DC23" i="3" s="1"/>
  <c r="DB15" i="3"/>
  <c r="DC15" i="3" s="1"/>
  <c r="DB52" i="3"/>
  <c r="DC52" i="3" s="1"/>
  <c r="DB8" i="3"/>
  <c r="DC8" i="3" s="1"/>
  <c r="DB37" i="3"/>
  <c r="DC37" i="3" s="1"/>
  <c r="DB20" i="3"/>
  <c r="DC20" i="3" s="1"/>
  <c r="DB46" i="3"/>
  <c r="DC46" i="3" s="1"/>
  <c r="DB19" i="3"/>
  <c r="DC19" i="3" s="1"/>
  <c r="DB22" i="3"/>
  <c r="DC22" i="3" s="1"/>
  <c r="DB38" i="3"/>
  <c r="DC38" i="3" s="1"/>
  <c r="DB17" i="3"/>
  <c r="DC17" i="3" s="1"/>
  <c r="DB18" i="3"/>
  <c r="DC18" i="3" s="1"/>
  <c r="DB11" i="3"/>
  <c r="DC11" i="3" s="1"/>
  <c r="DB43" i="3"/>
  <c r="DC43" i="3" s="1"/>
  <c r="DB29" i="3"/>
  <c r="DC29" i="3" s="1"/>
  <c r="DB33" i="3"/>
  <c r="DC33" i="3" s="1"/>
  <c r="DB21" i="3"/>
  <c r="DC21" i="3" s="1"/>
  <c r="DB50" i="3"/>
  <c r="DC50" i="3" s="1"/>
  <c r="DB14" i="3"/>
  <c r="DC14" i="3" s="1"/>
  <c r="DB12" i="3"/>
  <c r="DC12" i="3" s="1"/>
  <c r="DB6" i="3"/>
  <c r="DC6" i="3" s="1"/>
  <c r="DB13" i="3"/>
  <c r="DC13" i="3" s="1"/>
  <c r="DB26" i="3"/>
  <c r="DC26" i="3" s="1"/>
  <c r="DB10" i="3"/>
  <c r="DC10" i="3" s="1"/>
  <c r="DB51" i="3"/>
  <c r="DC51" i="3" s="1"/>
  <c r="DB7" i="3"/>
  <c r="DC7" i="3" s="1"/>
  <c r="DB16" i="3"/>
  <c r="DC16" i="3" s="1"/>
  <c r="DB45" i="3"/>
  <c r="DC45" i="3" s="1"/>
  <c r="DD22" i="3" l="1"/>
  <c r="BM22" i="3" s="1"/>
  <c r="DD7" i="3"/>
  <c r="BM7" i="3" s="1"/>
  <c r="DD26" i="3"/>
  <c r="BM26" i="3" s="1"/>
  <c r="DD14" i="3"/>
  <c r="BM14" i="3" s="1"/>
  <c r="DD27" i="3"/>
  <c r="BM27" i="3" s="1"/>
  <c r="DD40" i="3"/>
  <c r="BM40" i="3" s="1"/>
  <c r="DD47" i="3"/>
  <c r="BM47" i="3" s="1"/>
  <c r="DD50" i="3"/>
  <c r="BM50" i="3" s="1"/>
  <c r="DD10" i="3"/>
  <c r="BM10" i="3" s="1"/>
  <c r="DD46" i="3"/>
  <c r="BM46" i="3" s="1"/>
  <c r="DD29" i="3"/>
  <c r="BM29" i="3" s="1"/>
  <c r="DD39" i="3"/>
  <c r="BM39" i="3" s="1"/>
  <c r="DD6" i="3"/>
  <c r="BM6" i="3" s="1"/>
  <c r="DD51" i="3"/>
  <c r="BM51" i="3" s="1"/>
  <c r="DD52" i="3"/>
  <c r="BM52" i="3" s="1"/>
  <c r="DD11" i="3"/>
  <c r="BM11" i="3" s="1"/>
  <c r="DD30" i="3"/>
  <c r="BM30" i="3" s="1"/>
  <c r="DD13" i="3"/>
  <c r="BM13" i="3" s="1"/>
  <c r="DD31" i="3"/>
  <c r="BM31" i="3" s="1"/>
  <c r="DD45" i="3"/>
  <c r="BM45" i="3" s="1"/>
  <c r="DD19" i="3"/>
  <c r="BM19" i="3" s="1"/>
  <c r="DD41" i="3"/>
  <c r="BM41" i="3" s="1"/>
  <c r="DD43" i="3"/>
  <c r="BM43" i="3" s="1"/>
  <c r="DD32" i="3"/>
  <c r="BM32" i="3" s="1"/>
  <c r="DD25" i="3"/>
  <c r="BM25" i="3" s="1"/>
  <c r="DD16" i="3"/>
  <c r="BM16" i="3" s="1"/>
  <c r="DD23" i="3"/>
  <c r="BM23" i="3" s="1"/>
  <c r="DD37" i="3"/>
  <c r="BM37" i="3" s="1"/>
  <c r="DD17" i="3"/>
  <c r="BM17" i="3" s="1"/>
  <c r="DD28" i="3"/>
  <c r="BM28" i="3" s="1"/>
  <c r="DD35" i="3"/>
  <c r="BM35" i="3" s="1"/>
  <c r="DD44" i="3"/>
  <c r="BM44" i="3" s="1"/>
  <c r="DD48" i="3"/>
  <c r="BM48" i="3" s="1"/>
  <c r="DD8" i="3"/>
  <c r="BM8" i="3" s="1"/>
  <c r="DQ8" i="3" s="1"/>
  <c r="DJ8" i="3" s="1"/>
  <c r="DD9" i="3"/>
  <c r="BM9" i="3" s="1"/>
  <c r="DD12" i="3"/>
  <c r="BM12" i="3" s="1"/>
  <c r="DD53" i="3"/>
  <c r="BM53" i="3" s="1"/>
  <c r="DD33" i="3"/>
  <c r="BM33" i="3" s="1"/>
  <c r="DD36" i="3"/>
  <c r="BM36" i="3" s="1"/>
  <c r="DD21" i="3"/>
  <c r="BM21" i="3" s="1"/>
  <c r="DD34" i="3"/>
  <c r="BM34" i="3" s="1"/>
  <c r="DD18" i="3"/>
  <c r="BM18" i="3" s="1"/>
  <c r="DD42" i="3"/>
  <c r="BM42" i="3" s="1"/>
  <c r="DD49" i="3"/>
  <c r="BM49" i="3" s="1"/>
  <c r="DD38" i="3"/>
  <c r="BM38" i="3" s="1"/>
  <c r="DD20" i="3"/>
  <c r="BM20" i="3" s="1"/>
  <c r="DD15" i="3"/>
  <c r="BM15" i="3" s="1"/>
  <c r="DD24" i="3"/>
  <c r="BM24" i="3" s="1"/>
  <c r="DQ7" i="3"/>
  <c r="DJ7" i="3" s="1"/>
  <c r="DQ6" i="3"/>
  <c r="DJ6" i="3" s="1"/>
  <c r="AV6" i="3"/>
  <c r="AV7" i="3"/>
  <c r="AV9" i="3" l="1"/>
  <c r="DQ10" i="3"/>
  <c r="DJ10" i="3" s="1"/>
  <c r="AV8" i="3"/>
  <c r="AV15" i="3"/>
  <c r="DQ11" i="3"/>
  <c r="DJ11" i="3" s="1"/>
  <c r="DQ9" i="3"/>
  <c r="DJ9" i="3" s="1"/>
  <c r="DQ14" i="3"/>
  <c r="DJ14" i="3" s="1"/>
  <c r="AV40" i="3"/>
  <c r="DQ24" i="3"/>
  <c r="DJ24" i="3" s="1"/>
  <c r="DQ12" i="3"/>
  <c r="DJ12" i="3" s="1"/>
  <c r="AV16" i="3"/>
  <c r="AV22" i="3"/>
  <c r="DQ13" i="3"/>
  <c r="DJ13" i="3" s="1"/>
  <c r="AV94" i="3"/>
  <c r="AV17" i="3"/>
  <c r="AV14" i="3"/>
  <c r="DQ44" i="3"/>
  <c r="DJ44" i="3" s="1"/>
  <c r="DQ25" i="3"/>
  <c r="DJ25" i="3" s="1"/>
  <c r="AV72" i="3"/>
  <c r="AV79" i="3"/>
  <c r="AV49" i="3"/>
  <c r="AV24" i="3"/>
  <c r="DQ34" i="3"/>
  <c r="DJ34" i="3" s="1"/>
  <c r="AV30" i="3"/>
  <c r="AV41" i="3"/>
  <c r="DQ47" i="3"/>
  <c r="DJ47" i="3" s="1"/>
  <c r="AV65" i="3"/>
  <c r="DQ50" i="3"/>
  <c r="DJ50" i="3" s="1"/>
  <c r="DQ16" i="3"/>
  <c r="DJ16" i="3" s="1"/>
  <c r="AV57" i="3"/>
  <c r="AV89" i="3"/>
  <c r="AV25" i="3"/>
  <c r="DQ42" i="3"/>
  <c r="DJ42" i="3" s="1"/>
  <c r="AV23" i="3"/>
  <c r="AV73" i="3"/>
  <c r="AV71" i="3"/>
  <c r="AV70" i="3"/>
  <c r="DQ19" i="3"/>
  <c r="DJ19" i="3" s="1"/>
  <c r="DQ17" i="3"/>
  <c r="DJ17" i="3" s="1"/>
  <c r="AV55" i="3"/>
  <c r="DQ43" i="3"/>
  <c r="DJ43" i="3" s="1"/>
  <c r="DQ46" i="3"/>
  <c r="DJ46" i="3" s="1"/>
  <c r="DQ39" i="3"/>
  <c r="DJ39" i="3" s="1"/>
  <c r="DQ40" i="3"/>
  <c r="DJ40" i="3" s="1"/>
  <c r="DQ41" i="3"/>
  <c r="DJ41" i="3" s="1"/>
  <c r="DQ51" i="3"/>
  <c r="DJ51" i="3" s="1"/>
  <c r="AV97" i="3"/>
  <c r="AV31" i="3"/>
  <c r="DQ31" i="3"/>
  <c r="DJ31" i="3" s="1"/>
  <c r="AV38" i="3"/>
  <c r="DQ22" i="3"/>
  <c r="DJ22" i="3" s="1"/>
  <c r="AV32" i="3"/>
  <c r="DQ48" i="3"/>
  <c r="DJ48" i="3" s="1"/>
  <c r="DQ53" i="3"/>
  <c r="DJ53" i="3" s="1"/>
  <c r="DQ27" i="3"/>
  <c r="DJ27" i="3" s="1"/>
  <c r="AV46" i="3"/>
  <c r="AV80" i="3"/>
  <c r="AV96" i="3"/>
  <c r="AV39" i="3"/>
  <c r="DQ38" i="3"/>
  <c r="DJ38" i="3" s="1"/>
  <c r="AV86" i="3"/>
  <c r="DQ30" i="3"/>
  <c r="DJ30" i="3" s="1"/>
  <c r="AV56" i="3"/>
  <c r="AV54" i="3"/>
  <c r="DQ18" i="3"/>
  <c r="DJ18" i="3" s="1"/>
  <c r="AV81" i="3"/>
  <c r="AV33" i="3"/>
  <c r="DQ23" i="3"/>
  <c r="DJ23" i="3" s="1"/>
  <c r="DQ26" i="3"/>
  <c r="DJ26" i="3" s="1"/>
  <c r="DQ15" i="3"/>
  <c r="DJ15" i="3" s="1"/>
  <c r="DQ45" i="3"/>
  <c r="DJ45" i="3" s="1"/>
  <c r="DQ35" i="3"/>
  <c r="DJ35" i="3" s="1"/>
  <c r="AV62" i="3"/>
  <c r="AV63" i="3"/>
  <c r="DQ52" i="3"/>
  <c r="DJ52" i="3" s="1"/>
  <c r="AV48" i="3"/>
  <c r="DQ37" i="3"/>
  <c r="DJ37" i="3" s="1"/>
  <c r="DQ36" i="3"/>
  <c r="DJ36" i="3" s="1"/>
  <c r="DQ20" i="3"/>
  <c r="DJ20" i="3" s="1"/>
  <c r="DQ49" i="3"/>
  <c r="DJ49" i="3" s="1"/>
  <c r="AV47" i="3"/>
  <c r="DQ32" i="3"/>
  <c r="DJ32" i="3" s="1"/>
  <c r="AV95" i="3"/>
  <c r="DQ33" i="3"/>
  <c r="DJ33" i="3" s="1"/>
  <c r="AV78" i="3"/>
  <c r="DQ29" i="3"/>
  <c r="DJ29" i="3" s="1"/>
  <c r="AV64" i="3"/>
  <c r="DQ21" i="3"/>
  <c r="DJ21" i="3" s="1"/>
  <c r="DQ28" i="3"/>
  <c r="DJ28" i="3" s="1"/>
  <c r="AV87" i="3"/>
  <c r="AV88" i="3"/>
  <c r="DF8" i="3"/>
  <c r="DF7" i="3"/>
  <c r="DL11" i="3" l="1"/>
  <c r="DM11" i="3" s="1"/>
  <c r="DL49" i="3"/>
  <c r="AU89" i="3" s="1"/>
  <c r="DL35" i="3"/>
  <c r="AU63" i="3" s="1"/>
  <c r="DL23" i="3"/>
  <c r="AU39" i="3" s="1"/>
  <c r="DL20" i="3"/>
  <c r="DN20" i="3" s="1" a="1"/>
  <c r="DN20" i="3" s="1"/>
  <c r="DL7" i="3"/>
  <c r="DN7" i="3" s="1" a="1"/>
  <c r="DN7" i="3" s="1"/>
  <c r="DL50" i="3"/>
  <c r="DN50" i="3" s="1" a="1"/>
  <c r="DN50" i="3" s="1"/>
  <c r="DL27" i="3"/>
  <c r="AU47" i="3" s="1"/>
  <c r="DL30" i="3"/>
  <c r="AU54" i="3" s="1"/>
  <c r="DL42" i="3"/>
  <c r="AU78" i="3" s="1"/>
  <c r="DL47" i="3"/>
  <c r="AU87" i="3" s="1"/>
  <c r="DL32" i="3"/>
  <c r="AU56" i="3" s="1"/>
  <c r="DL41" i="3"/>
  <c r="DL13" i="3"/>
  <c r="AU17" i="3" s="1"/>
  <c r="DL12" i="3"/>
  <c r="AU16" i="3" s="1"/>
  <c r="DL17" i="3"/>
  <c r="AU25" i="3" s="1"/>
  <c r="DL53" i="3"/>
  <c r="AU97" i="3" s="1"/>
  <c r="DL43" i="3"/>
  <c r="AU79" i="3" s="1"/>
  <c r="DL31" i="3"/>
  <c r="AU55" i="3" s="1"/>
  <c r="DL8" i="3"/>
  <c r="AU8" i="3" s="1"/>
  <c r="DL24" i="3"/>
  <c r="AU40" i="3" s="1"/>
  <c r="DL9" i="3"/>
  <c r="AU9" i="3" s="1"/>
  <c r="DL29" i="3"/>
  <c r="DN29" i="3" s="1" a="1"/>
  <c r="DN29" i="3" s="1"/>
  <c r="DL48" i="3"/>
  <c r="AU88" i="3" s="1"/>
  <c r="DL38" i="3"/>
  <c r="AU70" i="3" s="1"/>
  <c r="DL15" i="3"/>
  <c r="AU23" i="3" s="1"/>
  <c r="DL22" i="3"/>
  <c r="AU38" i="3" s="1"/>
  <c r="DL18" i="3"/>
  <c r="AU30" i="3" s="1"/>
  <c r="DL33" i="3"/>
  <c r="DL40" i="3"/>
  <c r="AU72" i="3" s="1"/>
  <c r="DL25" i="3"/>
  <c r="AU41" i="3" s="1"/>
  <c r="DL39" i="3"/>
  <c r="AU71" i="3" s="1"/>
  <c r="DL26" i="3"/>
  <c r="AU46" i="3" s="1"/>
  <c r="DL28" i="3"/>
  <c r="AU48" i="3" s="1"/>
  <c r="DL16" i="3"/>
  <c r="AU24" i="3" s="1"/>
  <c r="DL46" i="3"/>
  <c r="AU86" i="3" s="1"/>
  <c r="DL37" i="3"/>
  <c r="AU65" i="3" s="1"/>
  <c r="DL44" i="3"/>
  <c r="AU80" i="3" s="1"/>
  <c r="DL19" i="3"/>
  <c r="AU31" i="3" s="1"/>
  <c r="DL51" i="3"/>
  <c r="AU95" i="3" s="1"/>
  <c r="DL45" i="3"/>
  <c r="DN45" i="3" s="1" a="1"/>
  <c r="DN45" i="3" s="1"/>
  <c r="DL14" i="3"/>
  <c r="DM14" i="3" s="1"/>
  <c r="DL52" i="3"/>
  <c r="AU96" i="3" s="1"/>
  <c r="DL34" i="3"/>
  <c r="AU62" i="3" s="1"/>
  <c r="DL36" i="3"/>
  <c r="AU64" i="3" s="1"/>
  <c r="DL21" i="3"/>
  <c r="AU33" i="3" s="1"/>
  <c r="DL6" i="3"/>
  <c r="AU6" i="3" s="1"/>
  <c r="DL10" i="3"/>
  <c r="AU14" i="3" s="1"/>
  <c r="DN33" i="3" a="1"/>
  <c r="DN33" i="3" s="1"/>
  <c r="DN49" i="3" a="1"/>
  <c r="DN49" i="3" s="1"/>
  <c r="DN30" i="3" a="1"/>
  <c r="DN30" i="3" s="1"/>
  <c r="DM30" i="3"/>
  <c r="DN11" i="3" a="1"/>
  <c r="DN11" i="3" s="1"/>
  <c r="AU15" i="3"/>
  <c r="DM53" i="3"/>
  <c r="DM49" i="3"/>
  <c r="DM42" i="3"/>
  <c r="DM20" i="3"/>
  <c r="DM24" i="3"/>
  <c r="DM23" i="3"/>
  <c r="AU49" i="3"/>
  <c r="DM50" i="3"/>
  <c r="AU32" i="3"/>
  <c r="AU94" i="3"/>
  <c r="DN12" i="3" a="1"/>
  <c r="DN12" i="3" s="1"/>
  <c r="DM12" i="3"/>
  <c r="DN53" i="3" a="1"/>
  <c r="DN53" i="3" s="1"/>
  <c r="DN23" i="3" a="1"/>
  <c r="DN23" i="3" s="1"/>
  <c r="AU73" i="3"/>
  <c r="DM41" i="3"/>
  <c r="DN41" i="3" a="1"/>
  <c r="DN41" i="3" s="1"/>
  <c r="DN8" i="3" l="1" a="1"/>
  <c r="DN8" i="3" s="1"/>
  <c r="DM13" i="3"/>
  <c r="DM32" i="3"/>
  <c r="DN32" i="3" a="1"/>
  <c r="DN32" i="3" s="1"/>
  <c r="DM18" i="3"/>
  <c r="DN18" i="3" a="1"/>
  <c r="DN18" i="3" s="1"/>
  <c r="DM8" i="3"/>
  <c r="DM46" i="3"/>
  <c r="DN46" i="3" a="1"/>
  <c r="DN46" i="3" s="1"/>
  <c r="DM29" i="3"/>
  <c r="DN42" i="3" a="1"/>
  <c r="DN42" i="3" s="1"/>
  <c r="DN25" i="3" a="1"/>
  <c r="DN25" i="3" s="1"/>
  <c r="DN43" i="3" a="1"/>
  <c r="DN43" i="3" s="1"/>
  <c r="DN13" i="3" a="1"/>
  <c r="DN13" i="3" s="1"/>
  <c r="AU7" i="3"/>
  <c r="AU5" i="3" s="1"/>
  <c r="AV4" i="3" s="1"/>
  <c r="DN24" i="3" a="1"/>
  <c r="DN24" i="3" s="1"/>
  <c r="DM40" i="3"/>
  <c r="DM7" i="3"/>
  <c r="DN37" i="3" a="1"/>
  <c r="DN37" i="3" s="1"/>
  <c r="DM38" i="3"/>
  <c r="DN38" i="3" a="1"/>
  <c r="DN38" i="3" s="1"/>
  <c r="DN9" i="3" a="1"/>
  <c r="DN9" i="3" s="1"/>
  <c r="DM26" i="3"/>
  <c r="DM45" i="3"/>
  <c r="AU81" i="3"/>
  <c r="AU77" i="3" s="1"/>
  <c r="AV76" i="3" s="1"/>
  <c r="DM17" i="3"/>
  <c r="DM9" i="3"/>
  <c r="DN44" i="3" a="1"/>
  <c r="DN44" i="3" s="1"/>
  <c r="DM43" i="3"/>
  <c r="DN40" i="3" a="1"/>
  <c r="DN40" i="3" s="1"/>
  <c r="DM19" i="3"/>
  <c r="DM36" i="3"/>
  <c r="DN26" i="3" a="1"/>
  <c r="DN26" i="3" s="1"/>
  <c r="AU22" i="3"/>
  <c r="AU21" i="3" s="1"/>
  <c r="AV20" i="3" s="1"/>
  <c r="DN36" i="3" a="1"/>
  <c r="DN36" i="3" s="1"/>
  <c r="DM37" i="3"/>
  <c r="AU37" i="3"/>
  <c r="AV36" i="3" s="1"/>
  <c r="DN6" i="3" a="1"/>
  <c r="DN6" i="3" s="1"/>
  <c r="DM44" i="3"/>
  <c r="DM15" i="3"/>
  <c r="DN28" i="3" a="1"/>
  <c r="DN28" i="3" s="1"/>
  <c r="DM28" i="3"/>
  <c r="AU29" i="3"/>
  <c r="AV28" i="3" s="1"/>
  <c r="DM34" i="3"/>
  <c r="DN14" i="3" a="1"/>
  <c r="DN14" i="3" s="1"/>
  <c r="DM21" i="3"/>
  <c r="AU61" i="3"/>
  <c r="AV60" i="3" s="1"/>
  <c r="DN15" i="3" a="1"/>
  <c r="DN15" i="3" s="1"/>
  <c r="DN22" i="3" a="1"/>
  <c r="DN22" i="3" s="1"/>
  <c r="DN19" i="3" a="1"/>
  <c r="DN19" i="3" s="1"/>
  <c r="DN35" i="3" a="1"/>
  <c r="DN35" i="3" s="1"/>
  <c r="DM35" i="3"/>
  <c r="DM25" i="3"/>
  <c r="DM6" i="3"/>
  <c r="DN27" i="3" a="1"/>
  <c r="DN27" i="3" s="1"/>
  <c r="DM39" i="3"/>
  <c r="DN48" i="3" a="1"/>
  <c r="DN48" i="3" s="1"/>
  <c r="DM27" i="3"/>
  <c r="DN17" i="3" a="1"/>
  <c r="DN17" i="3" s="1"/>
  <c r="AU69" i="3"/>
  <c r="AV68" i="3" s="1"/>
  <c r="DM48" i="3"/>
  <c r="AU85" i="3"/>
  <c r="AV84" i="3" s="1"/>
  <c r="DM51" i="3"/>
  <c r="DN39" i="3" a="1"/>
  <c r="DN39" i="3" s="1"/>
  <c r="DN51" i="3" a="1"/>
  <c r="DN51" i="3" s="1"/>
  <c r="DN21" i="3" a="1"/>
  <c r="DN21" i="3" s="1"/>
  <c r="AU13" i="3"/>
  <c r="AV12" i="3" s="1"/>
  <c r="DN16" i="3" a="1"/>
  <c r="DN16" i="3" s="1"/>
  <c r="DN31" i="3" a="1"/>
  <c r="DN31" i="3" s="1"/>
  <c r="DM31" i="3"/>
  <c r="DN47" i="3" a="1"/>
  <c r="DN47" i="3" s="1"/>
  <c r="DM47" i="3"/>
  <c r="DN10" i="3" a="1"/>
  <c r="DN10" i="3" s="1"/>
  <c r="DN34" i="3" a="1"/>
  <c r="DN34" i="3" s="1"/>
  <c r="DM10" i="3"/>
  <c r="DM16" i="3"/>
  <c r="DN52" i="3" a="1"/>
  <c r="DN52" i="3" s="1"/>
  <c r="AU57" i="3"/>
  <c r="AU53" i="3" s="1"/>
  <c r="AV52" i="3" s="1"/>
  <c r="DM33" i="3"/>
  <c r="AU93" i="3"/>
  <c r="AV92" i="3" s="1"/>
  <c r="DM22" i="3"/>
  <c r="DM52" i="3"/>
  <c r="DF9" i="3"/>
  <c r="AU45" i="3"/>
  <c r="AV44" i="3" s="1"/>
  <c r="DF22" i="3" l="1"/>
  <c r="DF23" i="3"/>
  <c r="DF14" i="3"/>
  <c r="DF10" i="3"/>
  <c r="DF21" i="3"/>
  <c r="DF25" i="3"/>
  <c r="DF19" i="3"/>
  <c r="DF24" i="3"/>
  <c r="DF18" i="3"/>
  <c r="DF12" i="3"/>
  <c r="DF16" i="3"/>
  <c r="DF37"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AG114" i="3" s="1"/>
  <c r="D112" i="3"/>
  <c r="M124" i="3" s="1"/>
  <c r="AA124"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3" i="3"/>
  <c r="M127" i="3"/>
  <c r="AA127" i="3" s="1"/>
  <c r="D127" i="3" s="1"/>
  <c r="AG111" i="3"/>
  <c r="N124" i="3"/>
  <c r="AF124" i="3" s="1"/>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AG124" i="3" s="1"/>
  <c r="N126" i="3"/>
  <c r="AF126" i="3" s="1"/>
  <c r="AE41" i="45" s="1"/>
  <c r="AG112"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M131" i="3"/>
  <c r="AA131" i="3" s="1"/>
  <c r="AG121" i="3"/>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AE35" i="45"/>
  <c r="C193" i="31"/>
  <c r="C182" i="31"/>
  <c r="AE10" i="45"/>
  <c r="M132" i="3" l="1"/>
  <c r="AA132" i="3" s="1"/>
  <c r="D132" i="3" s="1"/>
  <c r="N138" i="3" s="1"/>
  <c r="AF138" i="3" s="1"/>
  <c r="B206" i="31"/>
  <c r="C196" i="31"/>
  <c r="C206" i="31"/>
  <c r="D120" i="3"/>
  <c r="BS63" i="3"/>
  <c r="BS68" i="3"/>
  <c r="BS66" i="3"/>
  <c r="BS65" i="3"/>
  <c r="BS58" i="3"/>
  <c r="BS69" i="3"/>
  <c r="BS60" i="3"/>
  <c r="BS64" i="3"/>
  <c r="BS67" i="3"/>
  <c r="BS62" i="3"/>
  <c r="BS61" i="3"/>
  <c r="BS59" i="3"/>
  <c r="C190" i="31"/>
  <c r="AE11" i="45"/>
  <c r="B200" i="31"/>
  <c r="AG126" i="3"/>
  <c r="AG134" i="3"/>
  <c r="N139" i="3"/>
  <c r="AF139" i="3" s="1"/>
  <c r="AI44" i="45"/>
  <c r="C217" i="31"/>
  <c r="C212" i="31"/>
  <c r="AI31" i="45"/>
  <c r="AI43" i="45"/>
  <c r="C213" i="31"/>
  <c r="B223" i="31"/>
  <c r="C223" i="31"/>
  <c r="AI7" i="45"/>
  <c r="C210" i="31"/>
  <c r="AG132" i="3" l="1"/>
  <c r="AI19" i="45"/>
  <c r="C211" i="31"/>
  <c r="N131" i="3"/>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AM38" i="45" a="1"/>
  <c r="AM38" i="45" s="1"/>
  <c r="C229" i="31"/>
  <c r="C228" i="31"/>
  <c r="AM14" i="45"/>
  <c r="AG131" i="3" l="1"/>
  <c r="M138" i="3"/>
  <c r="AA138" i="3" s="1"/>
  <c r="AI8" i="45"/>
  <c r="C220" i="31"/>
  <c r="C214" i="31"/>
  <c r="B220" i="31"/>
  <c r="BV61" i="3"/>
  <c r="BV60" i="3"/>
  <c r="BV66" i="3"/>
  <c r="BV69" i="3"/>
  <c r="BV65" i="3"/>
  <c r="BV68" i="3"/>
  <c r="BV62" i="3"/>
  <c r="BV59" i="3"/>
  <c r="BV64" i="3"/>
  <c r="BV58" i="3"/>
  <c r="BV67" i="3"/>
  <c r="BV63" i="3"/>
  <c r="AA152" i="3"/>
  <c r="D143" i="3"/>
  <c r="AG143" i="3" s="1"/>
  <c r="C237" i="31"/>
  <c r="AQ32" i="45"/>
  <c r="AQ31" i="45"/>
  <c r="C236" i="31"/>
  <c r="B244" i="31"/>
  <c r="C244" i="31"/>
  <c r="AA147" i="3" l="1"/>
  <c r="D138" i="3"/>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D147" i="3" l="1"/>
  <c r="AG147" i="3" s="1"/>
  <c r="AA150" i="3"/>
  <c r="AG138" i="3"/>
  <c r="M147" i="3"/>
  <c r="M143" i="3"/>
  <c r="AU25" i="45"/>
  <c r="C240" i="31"/>
  <c r="BY59" i="3"/>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0" i="31" l="1"/>
  <c r="BA21" i="45"/>
  <c r="AG150" i="3"/>
  <c r="BZ65" i="3"/>
  <c r="CA65" i="3" s="1"/>
  <c r="BZ60" i="3"/>
  <c r="BZ64" i="3"/>
  <c r="BZ58" i="3"/>
  <c r="BZ59" i="3"/>
  <c r="CA59" i="3" s="1"/>
  <c r="BZ61" i="3"/>
  <c r="BZ68" i="3"/>
  <c r="BZ69" i="3"/>
  <c r="BZ67" i="3"/>
  <c r="BZ62" i="3"/>
  <c r="BZ63" i="3"/>
  <c r="BZ66" i="3"/>
  <c r="BO20" i="45" l="1"/>
  <c r="BO40" i="45"/>
  <c r="BO5" i="45"/>
  <c r="BO16" i="45"/>
  <c r="BO9" i="45"/>
  <c r="BO45" i="45"/>
  <c r="BO27" i="45"/>
  <c r="BO44" i="45"/>
  <c r="BO19" i="45"/>
  <c r="BO33" i="45"/>
  <c r="BO46" i="45"/>
  <c r="BO32" i="45"/>
  <c r="BO43" i="45"/>
  <c r="BO12" i="45"/>
  <c r="BO34" i="45"/>
  <c r="BO23" i="45"/>
  <c r="BO7" i="45"/>
  <c r="BO10" i="45"/>
  <c r="BO13" i="45"/>
  <c r="BO21" i="45"/>
  <c r="BO15" i="45"/>
  <c r="BO41" i="45"/>
  <c r="BO50" i="45"/>
  <c r="BO38" i="45"/>
  <c r="BO14" i="45"/>
  <c r="BO42" i="45"/>
  <c r="BO47" i="45"/>
  <c r="BO49" i="45"/>
  <c r="BO26" i="45"/>
  <c r="BO18" i="45"/>
  <c r="BO8" i="45"/>
  <c r="BO24" i="45"/>
  <c r="BO4" i="45"/>
  <c r="BO36" i="45"/>
  <c r="BO17" i="45"/>
  <c r="BO51" i="45"/>
  <c r="BO35" i="45"/>
  <c r="BO29" i="45"/>
  <c r="BO31" i="45"/>
  <c r="BO22" i="45"/>
  <c r="BO6" i="45"/>
  <c r="BO48" i="45"/>
  <c r="BO11" i="45"/>
  <c r="BO37" i="45"/>
  <c r="BO25" i="45"/>
  <c r="BO30" i="45"/>
  <c r="BO28" i="45"/>
  <c r="BO39"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0" i="3"/>
  <c r="M125" i="3"/>
  <c r="AA125" i="3" s="1"/>
  <c r="AG107" i="3"/>
  <c r="M123" i="3"/>
  <c r="AA123" i="3" s="1"/>
  <c r="C195" i="31" l="1"/>
  <c r="AE23" i="45"/>
  <c r="D125" i="3"/>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D139" i="3" l="1"/>
  <c r="AF147" i="3"/>
  <c r="C227" i="31"/>
  <c r="AM37" i="45"/>
  <c r="C233" i="31"/>
  <c r="B233" i="31"/>
  <c r="H147" i="3" l="1"/>
  <c r="AA151" i="3"/>
  <c r="AU26" i="45"/>
  <c r="C241" i="31"/>
  <c r="B247" i="31"/>
  <c r="C247" i="31"/>
  <c r="AG139" i="3"/>
  <c r="N143" i="3"/>
  <c r="N147" i="3"/>
  <c r="C251" i="31" l="1"/>
  <c r="BB23" i="45"/>
  <c r="AG151" i="3"/>
  <c r="AJ155" i="3"/>
  <c r="AJ151" i="3"/>
  <c r="BN40" i="45" l="1"/>
  <c r="BL40" i="45" s="1"/>
  <c r="BK40" i="45" s="1"/>
  <c r="BJ40" i="45" s="1"/>
  <c r="BI40" i="45" s="1"/>
  <c r="BH40" i="45" s="1"/>
  <c r="BN11" i="45"/>
  <c r="BL11" i="45" s="1"/>
  <c r="BK11" i="45" s="1"/>
  <c r="BJ11" i="45" s="1"/>
  <c r="BI11" i="45" s="1"/>
  <c r="BH11" i="45" s="1"/>
  <c r="BN21" i="45"/>
  <c r="BL21" i="45" s="1"/>
  <c r="BK21" i="45" s="1"/>
  <c r="BJ21" i="45" s="1"/>
  <c r="BI21" i="45" s="1"/>
  <c r="BH21" i="45" s="1"/>
  <c r="BN19" i="45"/>
  <c r="BL19" i="45" s="1"/>
  <c r="BK19" i="45" s="1"/>
  <c r="BJ19" i="45" s="1"/>
  <c r="BI19" i="45" s="1"/>
  <c r="BH19" i="45" s="1"/>
  <c r="BN44" i="45"/>
  <c r="BL44" i="45" s="1"/>
  <c r="BK44" i="45" s="1"/>
  <c r="BJ44" i="45" s="1"/>
  <c r="BI44" i="45" s="1"/>
  <c r="BH44" i="45" s="1"/>
  <c r="BN7" i="45"/>
  <c r="BL7" i="45" s="1"/>
  <c r="BK7" i="45" s="1"/>
  <c r="BJ7" i="45" s="1"/>
  <c r="BI7" i="45" s="1"/>
  <c r="BH7" i="45" s="1"/>
  <c r="BN27" i="45"/>
  <c r="BL27" i="45" s="1"/>
  <c r="BK27" i="45" s="1"/>
  <c r="BJ27" i="45" s="1"/>
  <c r="BI27" i="45" s="1"/>
  <c r="BH27" i="45" s="1"/>
  <c r="BN48" i="45"/>
  <c r="BL48" i="45" s="1"/>
  <c r="BK48" i="45" s="1"/>
  <c r="BJ48" i="45" s="1"/>
  <c r="BI48" i="45" s="1"/>
  <c r="BH48" i="45" s="1"/>
  <c r="BN23" i="45"/>
  <c r="BL23" i="45" s="1"/>
  <c r="BK23" i="45" s="1"/>
  <c r="BJ23" i="45" s="1"/>
  <c r="BI23" i="45" s="1"/>
  <c r="BH23" i="45" s="1"/>
  <c r="BN36" i="45"/>
  <c r="BL36" i="45" s="1"/>
  <c r="BK36" i="45" s="1"/>
  <c r="BJ36" i="45" s="1"/>
  <c r="BI36" i="45" s="1"/>
  <c r="BH36" i="45" s="1"/>
  <c r="BN18" i="45"/>
  <c r="BL18" i="45" s="1"/>
  <c r="BK18" i="45" s="1"/>
  <c r="BJ18" i="45" s="1"/>
  <c r="BI18" i="45" s="1"/>
  <c r="BH18" i="45" s="1"/>
  <c r="BN6" i="45"/>
  <c r="BL6" i="45" s="1"/>
  <c r="BK6" i="45" s="1"/>
  <c r="BJ6" i="45" s="1"/>
  <c r="BI6" i="45" s="1"/>
  <c r="BH6" i="45" s="1"/>
  <c r="BN20" i="45"/>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16" i="45"/>
  <c r="BL16" i="45" s="1"/>
  <c r="BK16" i="45" s="1"/>
  <c r="BJ16" i="45" s="1"/>
  <c r="BI16" i="45" s="1"/>
  <c r="BH16" i="45" s="1"/>
  <c r="BN29" i="45"/>
  <c r="BL29" i="45" s="1"/>
  <c r="BK29" i="45" s="1"/>
  <c r="BJ29" i="45" s="1"/>
  <c r="BI29" i="45" s="1"/>
  <c r="BH29" i="45" s="1"/>
  <c r="BN50" i="45"/>
  <c r="BL50" i="45" s="1"/>
  <c r="BK50" i="45" s="1"/>
  <c r="BJ50" i="45" s="1"/>
  <c r="BI50" i="45" s="1"/>
  <c r="BH50" i="45" s="1"/>
  <c r="BN24" i="45"/>
  <c r="BL24" i="45" s="1"/>
  <c r="BK24" i="45" s="1"/>
  <c r="BJ24" i="45" s="1"/>
  <c r="BI24" i="45" s="1"/>
  <c r="BH24" i="45" s="1"/>
  <c r="BN51" i="45"/>
  <c r="BL51" i="45" s="1"/>
  <c r="BK51" i="45" s="1"/>
  <c r="BJ51" i="45" s="1"/>
  <c r="BI51" i="45" s="1"/>
  <c r="BH51" i="45" s="1"/>
  <c r="BN14" i="45"/>
  <c r="BL14" i="45" s="1"/>
  <c r="BK14" i="45" s="1"/>
  <c r="BJ14" i="45" s="1"/>
  <c r="BI14" i="45" s="1"/>
  <c r="BH14" i="45" s="1"/>
  <c r="BN39" i="45"/>
  <c r="BL39" i="45" s="1"/>
  <c r="BK39" i="45" s="1"/>
  <c r="BJ39" i="45" s="1"/>
  <c r="BI39" i="45" s="1"/>
  <c r="BH39" i="45" s="1"/>
  <c r="BN38" i="45"/>
  <c r="BL38" i="45" s="1"/>
  <c r="BK38" i="45" s="1"/>
  <c r="BJ38" i="45" s="1"/>
  <c r="BI38" i="45" s="1"/>
  <c r="BH38" i="45" s="1"/>
  <c r="BN31" i="45"/>
  <c r="BL31" i="45" s="1"/>
  <c r="BK31" i="45" s="1"/>
  <c r="BJ31" i="45" s="1"/>
  <c r="BI31" i="45" s="1"/>
  <c r="BH31" i="45" s="1"/>
  <c r="BN45" i="45"/>
  <c r="BL45" i="45" s="1"/>
  <c r="BK45" i="45" s="1"/>
  <c r="BJ45" i="45" s="1"/>
  <c r="BI45" i="45" s="1"/>
  <c r="BH45" i="45" s="1"/>
  <c r="BN22" i="45"/>
  <c r="BL22" i="45" s="1"/>
  <c r="BK22" i="45" s="1"/>
  <c r="BJ22" i="45" s="1"/>
  <c r="BI22" i="45" s="1"/>
  <c r="BH22" i="45" s="1"/>
  <c r="BN8" i="45"/>
  <c r="BL8" i="45" s="1"/>
  <c r="BK8" i="45" s="1"/>
  <c r="BJ8" i="45" s="1"/>
  <c r="BI8" i="45" s="1"/>
  <c r="BH8" i="45" s="1"/>
  <c r="BN41" i="45"/>
  <c r="BL41" i="45" s="1"/>
  <c r="BK41" i="45" s="1"/>
  <c r="BJ41" i="45" s="1"/>
  <c r="BI41" i="45" s="1"/>
  <c r="BH41" i="45" s="1"/>
  <c r="BN32" i="45"/>
  <c r="BL32" i="45" s="1"/>
  <c r="BK32" i="45" s="1"/>
  <c r="BJ32" i="45" s="1"/>
  <c r="BI32" i="45" s="1"/>
  <c r="BH32" i="45" s="1"/>
  <c r="BN47" i="45"/>
  <c r="BL47" i="45" s="1"/>
  <c r="BK47" i="45" s="1"/>
  <c r="BJ47" i="45" s="1"/>
  <c r="BI47" i="45" s="1"/>
  <c r="BH47" i="45" s="1"/>
  <c r="BN5" i="45"/>
  <c r="BL5" i="45" s="1"/>
  <c r="BK5" i="45" s="1"/>
  <c r="BJ5" i="45" s="1"/>
  <c r="BI5" i="45" s="1"/>
  <c r="BH5" i="45" s="1"/>
  <c r="BN26" i="45"/>
  <c r="BL26" i="45" s="1"/>
  <c r="BK26" i="45" s="1"/>
  <c r="BJ26" i="45" s="1"/>
  <c r="BI26" i="45" s="1"/>
  <c r="BH26" i="45" s="1"/>
  <c r="BN35" i="45"/>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<sst xmlns="http://schemas.openxmlformats.org/spreadsheetml/2006/main" count="6764" uniqueCount="1522">
  <si>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</si>
  <si>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</si>
  <si>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</si>
  <si>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</si>
  <si>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</si>
  <si>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</si>
  <si>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</si>
  <si>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</si>
  <si>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</si>
  <si>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</si>
  <si>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</si>
  <si>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</si>
  <si>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</si>
  <si>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</si>
  <si>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</si>
  <si>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</si>
  <si>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</si>
  <si>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</si>
  <si>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</si>
  <si>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</si>
  <si>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</si>
  <si>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</si>
  <si>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</si>
  <si>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</si>
  <si>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</si>
  <si>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</si>
  <si>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</si>
  <si>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</si>
  <si>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</si>
  <si>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</si>
  <si>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</si>
  <si>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</si>
  <si>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</si>
  <si>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</si>
  <si>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</si>
  <si>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</si>
  <si>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</si>
  <si>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</si>
  <si>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</si>
  <si>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</si>
  <si>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</si>
  <si>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</si>
  <si>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</si>
  <si>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</si>
  <si>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</si>
  <si>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</si>
  <si>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</si>
  <si>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</si>
  <si>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</si>
  <si>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</si>
  <si>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</si>
  <si>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</si>
  <si>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</si>
  <si>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</si>
  <si>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</si>
  <si>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</si>
  <si>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</si>
  <si>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</si>
  <si>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</si>
  <si>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</si>
  <si>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</si>
  <si>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</si>
  <si>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</si>
  <si>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</si>
  <si>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</si>
  <si>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</si>
  <si>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</si>
  <si>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</si>
  <si>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</si>
  <si>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</si>
  <si>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</si>
  <si>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</si>
  <si>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</si>
  <si>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</si>
  <si>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</si>
  <si>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</si>
  <si>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</si>
  <si>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</si>
  <si>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</si>
  <si>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</si>
  <si>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</si>
  <si>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</si>
  <si>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</si>
  <si>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</si>
  <si>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</si>
  <si>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</si>
  <si>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</si>
  <si>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</si>
  <si>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</si>
  <si>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</si>
  <si>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</si>
  <si>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</si>
  <si>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</si>
  <si>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</si>
  <si>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</si>
  <si>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</si>
  <si>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</si>
  <si>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</si>
  <si>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</si>
  <si>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</si>
  <si>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</si>
  <si>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</si>
  <si>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</si>
  <si>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</si>
  <si>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</si>
  <si>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</si>
  <si>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</si>
  <si>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</si>
  <si>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</si>
  <si>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</si>
  <si>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</si>
  <si>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</si>
  <si>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</si>
  <si>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</si>
  <si>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</si>
  <si>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</si>
  <si>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</si>
  <si>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</si>
  <si>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</si>
  <si>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</si>
  <si>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</si>
  <si>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</si>
  <si>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</si>
  <si>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</si>
  <si>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</si>
  <si>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</si>
  <si>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</si>
  <si>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</si>
  <si>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</si>
  <si>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</si>
  <si>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</si>
  <si>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</si>
  <si>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</si>
  <si>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</si>
  <si>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</si>
  <si>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</si>
  <si>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</si>
  <si>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</si>
  <si>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</si>
  <si>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</si>
  <si>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</si>
  <si>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</si>
  <si>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</si>
  <si>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</si>
  <si>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</si>
  <si>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</si>
  <si>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</si>
  <si>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</si>
  <si>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</si>
  <si>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</si>
  <si>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</si>
  <si>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</si>
  <si>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</si>
  <si>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</si>
  <si>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</si>
  <si>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</si>
  <si>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</si>
  <si>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</si>
  <si>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</si>
  <si>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</si>
  <si>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</si>
  <si>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</si>
  <si>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</si>
  <si>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</si>
  <si>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</si>
  <si>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</si>
  <si>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</si>
  <si>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</si>
  <si>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</si>
  <si>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</si>
  <si>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</si>
  <si>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</si>
  <si>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</si>
  <si>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</si>
  <si>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</si>
  <si>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</si>
  <si>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</si>
  <si>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</si>
  <si>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</si>
  <si>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</si>
  <si>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</si>
  <si>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</si>
  <si>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</si>
  <si>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</si>
  <si>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</si>
  <si>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</si>
  <si>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</si>
  <si>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</si>
  <si>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</si>
  <si>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</si>
  <si>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</si>
  <si>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</si>
  <si>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</si>
  <si>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</si>
  <si>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</si>
  <si>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</si>
  <si>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</si>
  <si>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</si>
  <si>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</si>
  <si>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</si>
  <si>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</si>
  <si>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</si>
  <si>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</si>
  <si>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</si>
  <si>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</si>
  <si>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</si>
  <si>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</si>
  <si>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</si>
  <si>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</si>
  <si>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</si>
  <si>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</si>
  <si>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</si>
  <si>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</si>
  <si>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</si>
  <si>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</si>
  <si>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</si>
  <si>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</si>
  <si>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</si>
  <si>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</si>
  <si>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</si>
  <si>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</si>
  <si>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</si>
  <si>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</si>
  <si>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</si>
  <si>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</si>
  <si>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</si>
  <si>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</si>
  <si>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</si>
  <si>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</si>
  <si>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</si>
  <si>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</si>
  <si>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</si>
  <si>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</si>
  <si>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</si>
  <si>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</si>
  <si>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</si>
  <si>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</si>
  <si>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</si>
  <si>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</si>
  <si>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</si>
  <si>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</si>
  <si>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</si>
  <si>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</si>
  <si>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</si>
  <si>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</si>
  <si>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</si>
  <si>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</si>
  <si>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</si>
  <si>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</si>
  <si>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</si>
  <si>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</si>
  <si>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</si>
  <si>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</si>
  <si>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</si>
  <si>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</si>
  <si>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</si>
  <si>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</si>
  <si>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</si>
  <si>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</si>
  <si>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</si>
  <si>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</si>
  <si>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</si>
  <si>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</si>
  <si>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</si>
  <si>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</si>
  <si>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</si>
  <si>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</si>
  <si>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</si>
  <si>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</si>
  <si>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</si>
  <si>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</si>
  <si>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</si>
  <si>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</si>
  <si>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</si>
  <si>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</si>
  <si>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</si>
  <si>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</si>
  <si>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</si>
  <si>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</si>
  <si>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</si>
  <si>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</si>
  <si>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</si>
  <si>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</si>
  <si>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</si>
  <si>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</si>
  <si>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</si>
  <si>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</si>
  <si>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</si>
  <si>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</si>
  <si>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</si>
  <si>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</si>
  <si>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</si>
  <si>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</si>
  <si>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</si>
  <si>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</si>
  <si>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</si>
  <si>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</si>
  <si>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</si>
  <si>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</si>
  <si>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</si>
  <si>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</si>
  <si>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</si>
  <si>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</si>
  <si>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</si>
  <si>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</si>
  <si>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</si>
  <si>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</si>
  <si>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</si>
  <si>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</si>
  <si>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</si>
  <si>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</si>
  <si>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</si>
  <si>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</si>
  <si>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</si>
  <si>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</si>
  <si>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</si>
  <si>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</si>
  <si>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</si>
  <si>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</si>
  <si>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</si>
  <si>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</si>
  <si>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</si>
  <si>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</si>
  <si>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</si>
  <si>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</si>
  <si>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</si>
  <si>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</si>
  <si>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</si>
  <si>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</si>
  <si>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</si>
  <si>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</si>
  <si>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</si>
  <si>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</si>
  <si>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</si>
  <si>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</si>
  <si>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</si>
  <si>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</si>
  <si>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</si>
  <si>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</si>
  <si>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</si>
  <si>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</si>
  <si>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</si>
  <si>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</si>
  <si>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</si>
  <si>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</si>
  <si>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</si>
  <si>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</si>
  <si>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</si>
  <si>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</si>
  <si>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</si>
  <si>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</si>
  <si>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</si>
  <si>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</si>
  <si>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</si>
  <si>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</si>
  <si>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</si>
  <si>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</si>
  <si>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</si>
  <si>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</si>
  <si>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</si>
  <si>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</si>
  <si>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</si>
  <si>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</si>
  <si>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</si>
  <si>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</si>
  <si>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</si>
  <si>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</si>
  <si>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</si>
  <si>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</si>
  <si>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</si>
  <si>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</si>
  <si>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</si>
  <si>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</si>
  <si>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</si>
  <si>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</si>
  <si>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</si>
  <si>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</si>
  <si>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</si>
  <si>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</si>
  <si>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</si>
  <si>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</si>
  <si>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</si>
  <si>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</si>
  <si>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</si>
  <si>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</si>
  <si>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</si>
  <si>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</si>
  <si>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</si>
  <si>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</si>
  <si>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</si>
  <si>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</si>
  <si>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</si>
  <si>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</si>
  <si>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</si>
  <si>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</si>
  <si>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</si>
  <si>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</si>
  <si>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</si>
  <si>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</si>
  <si>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</si>
  <si>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</si>
  <si>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</si>
  <si>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</si>
  <si>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</si>
  <si>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</si>
  <si>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</si>
  <si>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</si>
  <si>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</si>
  <si>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</si>
  <si>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</si>
  <si>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</si>
  <si>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</si>
  <si>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</si>
  <si>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</si>
  <si>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</si>
  <si>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</si>
  <si>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</si>
  <si>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</si>
  <si>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</si>
  <si>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</si>
  <si>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</si>
  <si>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</si>
  <si>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</si>
  <si>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</si>
  <si>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</si>
  <si>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</si>
  <si>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</si>
  <si>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</si>
  <si>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</si>
  <si>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</si>
  <si>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</si>
  <si>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</si>
  <si>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</si>
  <si>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</si>
  <si>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</si>
  <si>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</si>
  <si>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</si>
  <si>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</si>
  <si>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</si>
  <si>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</si>
  <si>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</si>
  <si>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</si>
  <si>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</si>
  <si>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</si>
  <si>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</si>
  <si>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</si>
  <si>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</si>
  <si>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</si>
  <si>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</si>
  <si>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</si>
  <si>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</si>
  <si>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</si>
  <si>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</si>
  <si>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</si>
  <si>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</si>
  <si>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</si>
  <si>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</si>
  <si>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</si>
  <si>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</si>
  <si>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</si>
  <si>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</si>
  <si>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</si>
  <si>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</si>
  <si>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</si>
  <si>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</si>
  <si>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</si>
  <si>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</si>
  <si>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</si>
  <si>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</si>
  <si>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</si>
  <si>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</si>
  <si>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</si>
  <si>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</si>
  <si>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</si>
  <si>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</si>
  <si>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</si>
  <si>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</si>
  <si>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</si>
  <si>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</si>
  <si>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</si>
  <si>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</si>
  <si>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</si>
  <si>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</si>
  <si>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</si>
  <si>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</si>
  <si>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</si>
  <si>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</si>
  <si>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</si>
  <si>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</si>
  <si>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</si>
  <si>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</si>
  <si>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</si>
  <si>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</si>
  <si>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</si>
  <si>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</si>
  <si>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</si>
  <si>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</si>
  <si>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</si>
  <si>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</si>
  <si>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</si>
  <si>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</si>
  <si>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</si>
  <si>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</si>
  <si>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</si>
  <si>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</si>
  <si>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</si>
  <si>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</si>
  <si>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</si>
  <si>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</si>
  <si>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</si>
  <si>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</si>
  <si>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</si>
  <si>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</si>
  <si>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</si>
  <si>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</si>
  <si>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</si>
  <si>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</si>
  <si>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</si>
  <si>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</si>
  <si>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</si>
  <si>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</si>
  <si>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</si>
  <si>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</si>
  <si>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</si>
  <si>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</si>
  <si>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</si>
  <si>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</si>
  <si>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</si>
  <si>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</si>
  <si>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</si>
  <si>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</si>
  <si>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</si>
  <si>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</si>
  <si>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</si>
  <si>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</si>
  <si>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</si>
  <si>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</si>
  <si>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</si>
  <si>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</si>
  <si>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</si>
  <si>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</si>
  <si>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</si>
  <si>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</si>
  <si>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</si>
  <si>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</si>
  <si>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</si>
  <si>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</si>
  <si>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</si>
  <si>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</si>
  <si>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</si>
  <si>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</si>
  <si>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</si>
  <si>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</si>
  <si>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</si>
  <si>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</si>
  <si>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</si>
  <si>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</si>
  <si>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</si>
  <si>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</si>
  <si>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</si>
  <si>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</si>
  <si>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</si>
  <si>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</si>
  <si>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</si>
  <si>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</si>
  <si>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</si>
  <si>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</si>
  <si>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</si>
  <si>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</si>
  <si>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</si>
  <si>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</si>
  <si>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</si>
  <si>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</si>
  <si>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</si>
  <si>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</si>
  <si>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</si>
  <si>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</si>
  <si>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</si>
  <si>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</si>
  <si>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</si>
  <si>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</si>
  <si>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</si>
  <si>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</si>
  <si>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</si>
  <si>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</si>
  <si>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</si>
  <si>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</si>
  <si>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</si>
  <si>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</si>
  <si>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</si>
  <si>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</si>
  <si>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</si>
  <si>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</si>
  <si>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</si>
  <si>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</si>
  <si>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</si>
  <si>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</si>
  <si>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</si>
  <si>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</si>
  <si>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</si>
  <si>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</si>
  <si>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</si>
  <si>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</si>
  <si>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</si>
  <si>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</si>
  <si>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</si>
  <si>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</si>
  <si>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</si>
  <si>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</si>
  <si>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</si>
  <si>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</si>
  <si>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</si>
  <si>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</si>
  <si>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</si>
  <si>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</si>
  <si>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</si>
  <si>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</si>
  <si>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</si>
  <si>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</si>
  <si>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</si>
  <si>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</si>
  <si>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</si>
  <si>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</si>
  <si>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</si>
  <si>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</si>
  <si>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</si>
  <si>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</si>
  <si>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</si>
  <si>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</si>
  <si>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</si>
  <si>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</si>
  <si>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</si>
  <si>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</si>
  <si>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</si>
  <si>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</si>
  <si>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</si>
  <si>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</si>
  <si>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</si>
  <si>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</si>
  <si>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</si>
  <si>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</si>
  <si>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</si>
  <si>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</si>
  <si>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</si>
  <si>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</si>
  <si>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</si>
  <si>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</si>
  <si>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</si>
  <si>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</si>
  <si>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</si>
  <si>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</si>
  <si>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</si>
  <si>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</si>
  <si>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</si>
  <si>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</si>
  <si>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</si>
  <si>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</si>
  <si>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</si>
  <si>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</si>
  <si>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</si>
  <si>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</si>
  <si>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</si>
  <si>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</si>
  <si>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</si>
  <si>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</si>
  <si>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</si>
  <si>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</si>
  <si>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</si>
  <si>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</si>
  <si>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</si>
  <si>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</si>
  <si>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</si>
  <si>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</si>
  <si>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</si>
  <si>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</si>
  <si>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</si>
  <si>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</si>
  <si>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</si>
  <si>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</si>
  <si>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</si>
  <si>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</si>
  <si>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</si>
  <si>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</si>
  <si>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</si>
  <si>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</si>
  <si>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</si>
  <si>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</si>
  <si>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</si>
  <si>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</si>
  <si>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</si>
  <si>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</si>
  <si>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</si>
  <si>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</si>
  <si>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</si>
  <si>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</si>
  <si>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</si>
  <si>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</si>
  <si>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</si>
  <si>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</si>
  <si>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</si>
  <si>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</si>
  <si>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</si>
  <si>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</si>
  <si>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</si>
  <si>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</si>
  <si>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</si>
  <si>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</si>
  <si>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</si>
  <si>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</si>
  <si>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</si>
  <si>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</si>
  <si>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</si>
  <si>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</si>
  <si>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</si>
  <si>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</si>
  <si>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</si>
  <si>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</si>
  <si>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</si>
  <si>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</si>
  <si>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</si>
  <si>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</si>
  <si>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</si>
  <si>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</si>
  <si>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</si>
  <si>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</si>
  <si>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</si>
  <si>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</si>
  <si>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</si>
  <si>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</si>
  <si>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</si>
  <si>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</si>
  <si>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</si>
  <si>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</si>
  <si>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</si>
  <si>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</si>
  <si>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</si>
  <si>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</si>
  <si>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</si>
  <si>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</si>
  <si>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</si>
  <si>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</si>
  <si>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</si>
  <si>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</si>
  <si>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</si>
  <si>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</si>
  <si>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</si>
  <si>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</si>
  <si>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</si>
  <si>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</si>
  <si>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</si>
  <si>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</si>
  <si>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</si>
  <si>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</si>
  <si>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</si>
  <si>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</si>
  <si>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</si>
  <si>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</si>
  <si>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</si>
  <si>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</si>
  <si>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</si>
  <si>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</si>
  <si>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</si>
  <si>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</si>
  <si>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</si>
  <si>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</si>
  <si>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</si>
  <si>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</si>
  <si>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</si>
  <si>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</si>
  <si>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</si>
  <si>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</si>
  <si>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</si>
  <si>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</si>
  <si>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</si>
  <si>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</si>
  <si>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</si>
  <si>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</si>
  <si>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</si>
  <si>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</si>
  <si>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</si>
  <si>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</si>
  <si>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</si>
  <si>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</si>
  <si>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</si>
  <si>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</si>
  <si>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</si>
  <si>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</si>
  <si>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</si>
  <si>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</si>
  <si>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</si>
  <si>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</si>
  <si>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</si>
  <si>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</si>
  <si>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</si>
  <si>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</si>
  <si>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</si>
  <si>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</si>
  <si>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</si>
  <si>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</si>
  <si>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</si>
  <si>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</si>
  <si>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</si>
  <si>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</si>
  <si>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</si>
  <si>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</si>
  <si>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</si>
  <si>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</si>
  <si>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</si>
  <si>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</si>
  <si>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</si>
  <si>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</si>
  <si>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</si>
  <si>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</si>
  <si>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</si>
  <si>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</si>
  <si>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</si>
  <si>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</si>
  <si>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</si>
  <si>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</si>
  <si>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</si>
  <si>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</si>
  <si>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</si>
  <si>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</si>
  <si>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</si>
  <si>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</si>
  <si>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</si>
  <si>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</si>
  <si>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</si>
  <si>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</si>
  <si>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</si>
  <si>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</si>
  <si>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</si>
  <si>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</si>
  <si>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</si>
  <si>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</si>
  <si>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</si>
  <si>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</si>
  <si>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</si>
  <si>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</si>
  <si>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</si>
  <si>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</si>
  <si>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</si>
  <si>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</si>
  <si>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</si>
  <si>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</si>
  <si>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</si>
  <si>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</si>
  <si>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</si>
  <si>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</si>
  <si>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</si>
  <si>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</si>
  <si>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</si>
  <si>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</si>
  <si>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</si>
  <si>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</si>
  <si>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</si>
  <si>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</si>
  <si>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</si>
  <si>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</si>
  <si>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</si>
  <si>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</si>
  <si>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</si>
  <si>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</si>
  <si>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</si>
  <si>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</si>
  <si>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</si>
  <si>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</si>
  <si>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</si>
  <si>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</si>
  <si>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</si>
  <si>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</si>
  <si>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</si>
  <si>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</si>
  <si>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</si>
  <si>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</si>
  <si>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</si>
  <si>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</si>
  <si>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</si>
  <si>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</si>
  <si>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</si>
  <si>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</si>
  <si>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</si>
  <si>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</si>
  <si>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</si>
  <si>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</si>
  <si>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</si>
  <si>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</si>
  <si>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</si>
  <si>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</si>
  <si>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</si>
  <si>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</si>
  <si>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</si>
  <si>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</si>
  <si>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</si>
  <si>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</si>
  <si>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</si>
  <si>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</si>
  <si>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</si>
  <si>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</si>
  <si>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</si>
  <si>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</si>
  <si>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</si>
  <si>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</si>
  <si>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</si>
  <si>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</si>
  <si>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</si>
  <si>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</si>
  <si>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</si>
  <si>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</si>
  <si>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</si>
  <si>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</si>
  <si>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</si>
  <si>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</si>
  <si>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</si>
  <si>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</si>
  <si>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</si>
  <si>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</si>
  <si>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</si>
  <si>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</si>
  <si>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</si>
  <si>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</si>
  <si>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</si>
  <si>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</si>
  <si>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</si>
  <si>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</si>
  <si>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</si>
  <si>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</si>
  <si>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</si>
  <si>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</si>
  <si>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</si>
  <si>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</si>
  <si>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</si>
  <si>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</si>
  <si>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</si>
  <si>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</si>
  <si>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</si>
  <si>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</si>
  <si>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</si>
  <si>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</si>
  <si>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</si>
  <si>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</si>
  <si>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</si>
  <si>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</si>
  <si>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</si>
  <si>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</si>
  <si>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</si>
  <si>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</si>
  <si>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</si>
  <si>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</si>
  <si>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</si>
  <si>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</si>
  <si>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</si>
  <si>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</si>
  <si>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</si>
  <si>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</si>
  <si>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</si>
  <si>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</si>
  <si>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</si>
  <si>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</si>
  <si>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</si>
  <si>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</si>
  <si>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</si>
  <si>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</si>
  <si>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</si>
  <si>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</si>
  <si>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</si>
  <si>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</si>
  <si>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</si>
  <si>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</si>
  <si>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</si>
  <si>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</si>
  <si>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</si>
  <si>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</si>
  <si>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</si>
  <si>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</si>
  <si>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</si>
  <si>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</si>
  <si>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</si>
  <si>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</si>
  <si>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</si>
  <si>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</si>
  <si>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</si>
  <si>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</si>
  <si>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</si>
  <si>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</si>
  <si>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</si>
  <si>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</si>
  <si>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</si>
  <si>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</si>
  <si>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</si>
  <si>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</si>
  <si>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</si>
  <si>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</si>
  <si>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</si>
  <si>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</si>
  <si>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</si>
  <si>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</si>
  <si>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</si>
  <si>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</si>
  <si>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</si>
  <si>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</si>
  <si>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</si>
  <si>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</si>
  <si>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</si>
  <si>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</si>
  <si>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</si>
  <si>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</si>
  <si>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</si>
  <si>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</si>
  <si>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</si>
  <si>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</si>
  <si>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</si>
  <si>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</si>
  <si>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</si>
  <si>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</si>
  <si>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</si>
  <si>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</si>
  <si>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</si>
  <si>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</si>
  <si>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</si>
  <si>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</si>
  <si>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</si>
  <si>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</si>
  <si>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</si>
  <si>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</si>
  <si>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</si>
  <si>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</si>
  <si>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</si>
  <si>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</si>
  <si>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</si>
  <si>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</si>
  <si>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</si>
  <si>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</si>
  <si>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</si>
  <si>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</si>
  <si>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</si>
  <si>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</si>
  <si>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</si>
  <si>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</si>
  <si>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</si>
  <si>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</si>
  <si>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</si>
  <si>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</si>
  <si>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</si>
  <si>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</si>
  <si>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</si>
  <si>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</si>
  <si>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</si>
  <si>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</si>
  <si>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</si>
  <si>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</si>
  <si>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</si>
  <si>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</si>
  <si>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</si>
  <si>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</si>
  <si>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</si>
  <si>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</si>
  <si>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</si>
  <si>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</si>
  <si>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</si>
  <si>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</si>
  <si>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</si>
  <si>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</si>
  <si>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</si>
  <si>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</si>
  <si>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</si>
  <si>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</si>
  <si>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</si>
  <si>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</si>
  <si>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</si>
  <si>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</si>
  <si>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</si>
  <si>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</si>
  <si>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</si>
  <si>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</si>
  <si>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</si>
  <si>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</si>
  <si>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</si>
  <si>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</si>
  <si>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</si>
  <si>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</si>
  <si>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</si>
  <si>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</si>
  <si>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</si>
  <si>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</si>
  <si>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</si>
  <si>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</si>
  <si>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</si>
  <si>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</si>
  <si>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</si>
  <si>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</si>
  <si>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</si>
  <si>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</si>
  <si>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</si>
  <si>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</si>
  <si>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</si>
  <si>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</si>
  <si>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</si>
  <si>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</si>
  <si>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</si>
  <si>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</si>
  <si>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</si>
  <si>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</si>
  <si>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</si>
  <si>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</si>
  <si>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</si>
  <si>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</si>
  <si>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</si>
  <si>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</si>
  <si>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</si>
  <si>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</si>
  <si>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</si>
  <si>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</si>
  <si>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</si>
  <si>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</si>
  <si>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</si>
  <si>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</si>
  <si>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</si>
  <si>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</si>
  <si>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</si>
  <si>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</si>
  <si>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</si>
  <si>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</si>
  <si>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</si>
  <si>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</si>
  <si>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</si>
  <si>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</si>
  <si>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</si>
  <si>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</si>
  <si>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</si>
  <si>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</si>
  <si>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</si>
  <si>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</si>
  <si>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</si>
  <si>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</si>
  <si>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</si>
  <si>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</si>
  <si>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</si>
  <si>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</si>
  <si>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</si>
  <si>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</si>
  <si>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</si>
  <si>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</si>
  <si>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</si>
  <si>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</si>
  <si>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</si>
  <si>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</si>
  <si>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</si>
  <si>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</si>
  <si>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</si>
  <si>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</si>
  <si>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</si>
  <si>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</si>
  <si>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</si>
  <si>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</si>
  <si>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</si>
  <si>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</si>
  <si>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</si>
  <si>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</si>
  <si>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</si>
  <si>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</si>
  <si>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</si>
  <si>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</si>
  <si>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</si>
  <si>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</si>
  <si>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</si>
  <si>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</si>
  <si>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</si>
  <si>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</si>
  <si>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</si>
  <si>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</si>
  <si>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</si>
  <si>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</si>
  <si>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</si>
  <si>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</si>
  <si>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</si>
  <si>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</si>
  <si>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</si>
  <si>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</si>
  <si>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</si>
  <si>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</si>
  <si>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</si>
  <si>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</si>
  <si>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</si>
  <si>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</si>
  <si>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</si>
  <si>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</si>
  <si>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</si>
  <si>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</si>
  <si>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</si>
  <si>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</si>
  <si>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</si>
  <si>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</si>
  <si>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</si>
  <si>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</si>
  <si>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</si>
  <si>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</si>
  <si>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</si>
  <si>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</si>
  <si>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</si>
  <si>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</si>
  <si>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</si>
  <si>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</si>
  <si>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</si>
  <si>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</si>
  <si>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</si>
  <si>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</si>
  <si>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</si>
  <si>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</si>
  <si>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</si>
  <si>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</si>
  <si>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</si>
  <si>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</si>
  <si>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</si>
  <si>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</si>
  <si>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</si>
  <si>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</si>
  <si>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</si>
  <si>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</si>
  <si>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</si>
  <si>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</si>
  <si>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</si>
  <si>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</si>
  <si>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</si>
  <si>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</si>
  <si>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</si>
  <si>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</si>
  <si>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</si>
  <si>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</si>
  <si>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</si>
  <si>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</si>
  <si>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</si>
  <si>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</si>
  <si>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</si>
  <si>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</si>
  <si>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</si>
  <si>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</si>
  <si>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</si>
  <si>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</si>
  <si>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</si>
  <si>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</si>
  <si>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</si>
  <si>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</si>
  <si>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</si>
  <si>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</si>
  <si>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</si>
  <si>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</si>
  <si>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</si>
  <si>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</si>
  <si>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</si>
  <si>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</si>
  <si>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</si>
  <si>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</si>
  <si>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</si>
  <si>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</si>
  <si>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</si>
  <si>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</si>
  <si>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</si>
  <si>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</si>
  <si>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</si>
  <si>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</si>
  <si>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</si>
  <si>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</si>
  <si>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</si>
  <si>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</si>
  <si>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</si>
  <si>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</si>
  <si>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</si>
  <si>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</si>
  <si>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</si>
  <si>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</si>
  <si>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</si>
  <si>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</si>
  <si>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</si>
  <si>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</si>
  <si>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</si>
  <si>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</si>
  <si>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</si>
  <si>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</si>
  <si>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</si>
  <si>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</si>
  <si>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</si>
  <si>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</si>
  <si>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</si>
  <si>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</si>
  <si>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</si>
  <si>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</si>
  <si>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</si>
  <si>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</si>
  <si>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</si>
  <si>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</si>
  <si>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</si>
  <si>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</si>
  <si>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</si>
  <si>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</si>
  <si>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</si>
  <si>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</si>
  <si>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</si>
  <si>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</si>
  <si>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</si>
  <si>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</si>
  <si>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</si>
  <si>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</si>
  <si>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</si>
  <si>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</si>
  <si>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</si>
  <si>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</si>
  <si>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</si>
  <si>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</si>
  <si>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</si>
  <si>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</si>
  <si>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</si>
  <si>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</si>
  <si>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</si>
  <si>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</si>
  <si>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</si>
  <si>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</si>
  <si>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</si>
  <si>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</si>
  <si>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</si>
  <si>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</si>
  <si>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</si>
  <si>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</si>
  <si>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</si>
  <si>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</si>
  <si>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</si>
  <si>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</si>
  <si>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</si>
  <si>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</si>
  <si>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</si>
  <si>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</si>
  <si>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</si>
  <si>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</si>
  <si>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</si>
  <si>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</si>
  <si>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</si>
  <si>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</si>
  <si>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</si>
  <si>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</si>
  <si>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</si>
  <si>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</si>
  <si>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</si>
  <si>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</si>
  <si>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</si>
  <si>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</si>
  <si>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</si>
  <si>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</si>
  <si>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</si>
  <si>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</si>
  <si>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</si>
  <si>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</si>
  <si>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</si>
  <si>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</si>
  <si>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</si>
  <si>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</si>
  <si>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</si>
  <si>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</si>
  <si>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</si>
  <si>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</si>
  <si>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</si>
  <si>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</si>
  <si>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</si>
  <si>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</si>
  <si>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</si>
  <si>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</si>
  <si>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</si>
  <si>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</si>
  <si>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</si>
  <si>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</si>
  <si>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</si>
  <si>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</si>
  <si>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</si>
  <si>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</si>
  <si>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</si>
  <si>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</si>
  <si>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</si>
  <si>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</si>
  <si>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</si>
  <si>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</si>
  <si>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</si>
  <si>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</si>
  <si>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</si>
  <si>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</si>
  <si>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</si>
  <si>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</si>
  <si>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</si>
  <si>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</si>
  <si>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</si>
  <si>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</si>
  <si>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</si>
  <si>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</si>
  <si>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</si>
  <si>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</si>
  <si>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</si>
  <si>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</si>
  <si>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</si>
  <si>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</si>
  <si>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</si>
  <si>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</si>
  <si>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</si>
  <si>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</si>
  <si>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</si>
  <si>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</si>
  <si>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</si>
  <si>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</si>
  <si>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</si>
  <si>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</si>
  <si>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</si>
  <si>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</si>
  <si>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</si>
  <si>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</si>
  <si>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</si>
  <si>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</si>
  <si>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</si>
  <si>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</si>
  <si>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</si>
  <si>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</si>
  <si>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</si>
  <si>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</si>
  <si>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</si>
  <si>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</si>
  <si>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</si>
  <si>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</si>
  <si>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</si>
  <si>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</si>
  <si>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</si>
  <si>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</si>
  <si>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</si>
  <si>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</si>
  <si>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</si>
  <si>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</si>
  <si>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</si>
  <si>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</si>
  <si>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</si>
  <si>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</si>
  <si>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</si>
  <si>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</si>
  <si>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</si>
  <si>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</si>
  <si>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</si>
  <si>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</si>
  <si>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</si>
  <si>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</si>
  <si>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</si>
  <si>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</si>
  <si>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</si>
  <si>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</si>
  <si>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</si>
  <si>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</si>
  <si>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</si>
  <si>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</si>
  <si>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</si>
  <si>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</si>
  <si>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</si>
  <si>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</si>
  <si>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</si>
  <si>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</si>
  <si>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</si>
  <si>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</si>
  <si>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</si>
  <si>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</si>
  <si>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</si>
  <si>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</si>
  <si>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</si>
  <si>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</si>
  <si>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</si>
  <si>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</si>
  <si>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</si>
  <si>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</si>
  <si>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</si>
  <si>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</si>
  <si>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</si>
  <si>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</si>
  <si>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</si>
  <si>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</si>
  <si>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</si>
  <si>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</si>
  <si>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</si>
  <si>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</si>
  <si>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</si>
  <si>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</si>
  <si>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</si>
  <si>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</si>
  <si>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</si>
  <si>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</si>
  <si>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</si>
  <si>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</si>
  <si>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</si>
  <si>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</si>
  <si>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</si>
  <si>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</si>
  <si>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</si>
  <si>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</si>
  <si>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</si>
  <si>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</si>
  <si>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</si>
  <si>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</si>
  <si>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</si>
  <si>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</si>
  <si>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</si>
  <si>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</si>
  <si>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</si>
  <si>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</si>
  <si>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</si>
  <si>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</si>
  <si>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</si>
  <si>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</si>
  <si>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</si>
  <si>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</si>
  <si>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</si>
  <si>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</si>
  <si>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</si>
  <si>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</si>
  <si>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</si>
  <si>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</si>
  <si>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</si>
  <si>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</si>
  <si>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Messi</t>
  </si>
  <si>
    <t>Mbappe</t>
  </si>
  <si>
    <t>Kane</t>
  </si>
  <si>
    <t>Olise</t>
  </si>
  <si>
    <t>Bellingham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</si>
</sst>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26</v>
    <v>5</v>
  </rv>
  <rv s="1">
    <v>48</v>
    <v>6</v>
  </rv>
  <rv s="1">
    <v>49</v>
    <v>5</v>
  </rv>
  <rv s="1">
    <v>50</v>
    <v>5</v>
  </rv>
  <rv s="1">
    <v>16</v>
    <v>5</v>
  </rv>
  <rv s="1">
    <v>30</v>
    <v>5</v>
  </rv>
  <rv s="1">
    <v>37</v>
    <v>5</v>
  </rv>
  <rv s="1">
    <v>36</v>
    <v>5</v>
  </rv>
  <rv s="1">
    <v>14</v>
    <v>5</v>
  </rv>
  <rv s="1">
    <v>38</v>
    <v>5</v>
  </rv>
  <rv s="1">
    <v>24</v>
    <v>5</v>
  </rv>
  <rv s="1">
    <v>8</v>
    <v>5</v>
  </rv>
  <rv s="1">
    <v>29</v>
    <v>5</v>
  </rv>
  <rv s="1">
    <v>4</v>
    <v>5</v>
  </rv>
  <rv s="1">
    <v>6</v>
    <v>5</v>
  </rv>
  <rv s="1">
    <v>43</v>
    <v>5</v>
  </rv>
  <rv s="1">
    <v>2</v>
    <v>5</v>
  </rv>
  <rv s="1">
    <v>18</v>
    <v>5</v>
  </rv>
  <rv s="1">
    <v>45</v>
    <v>5</v>
  </rv>
  <rv s="1">
    <v>17</v>
    <v>5</v>
  </rv>
  <rv s="1">
    <v>19</v>
    <v>5</v>
  </rv>
  <rv s="1">
    <v>25</v>
    <v>5</v>
  </rv>
  <rv s="1">
    <v>11</v>
    <v>5</v>
  </rv>
  <rv s="1">
    <v>28</v>
    <v>5</v>
  </rv>
  <rv s="1">
    <v>12</v>
    <v>5</v>
  </rv>
  <rv s="1">
    <v>32</v>
    <v>5</v>
  </rv>
  <rv s="1">
    <v>46</v>
    <v>5</v>
  </rv>
  <rv s="1">
    <v>10</v>
    <v>5</v>
  </rv>
  <rv s="1">
    <v>44</v>
    <v>5</v>
  </rv>
  <rv s="1">
    <v>26</v>
    <v>4</v>
  </rv>
  <rv s="1">
    <v>21</v>
    <v>5</v>
  </rv>
  <rv s="1">
    <v>39</v>
    <v>5</v>
  </rv>
  <rv s="1">
    <v>9</v>
    <v>5</v>
  </rv>
  <rv s="1">
    <v>0</v>
    <v>5</v>
  </rv>
  <rv s="1">
    <v>35</v>
    <v>5</v>
  </rv>
  <rv s="1">
    <v>27</v>
    <v>5</v>
  </rv>
  <rv s="1">
    <v>20</v>
    <v>5</v>
  </rv>
  <rv s="1">
    <v>47</v>
    <v>5</v>
  </rv>
  <rv s="1">
    <v>13</v>
    <v>5</v>
  </rv>
  <rv s="1">
    <v>40</v>
    <v>5</v>
  </rv>
  <rv s="1">
    <v>33</v>
    <v>5</v>
  </rv>
  <rv s="1">
    <v>1</v>
    <v>5</v>
  </rv>
  <rv s="1">
    <v>7</v>
    <v>5</v>
  </rv>
  <rv s="1">
    <v>23</v>
    <v>5</v>
  </rv>
  <rv s="1">
    <v>31</v>
    <v>5</v>
  </rv>
  <rv s="1">
    <v>42</v>
    <v>5</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26953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4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4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4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4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49999999999999"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5" zoomScale="90" zoomScaleNormal="9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7265625" customWidth="1"/>
    <col min="24" max="24" width="11.81640625" customWidth="1"/>
    <col min="25" max="25" width="6.81640625" customWidth="1"/>
    <col min="26" max="26" width="5.1796875" customWidth="1"/>
    <col min="27" max="27" width="20.81640625" customWidth="1"/>
    <col min="28" max="28" width="3.26953125" customWidth="1"/>
    <col min="29" max="30" width="5.26953125" customWidth="1"/>
    <col min="31" max="31" width="3.26953125" customWidth="1"/>
    <col min="32" max="32" width="20.81640625" customWidth="1"/>
    <col min="33" max="33" width="3.453125" customWidth="1"/>
    <col min="34" max="34" width="5.1796875" style="187" customWidth="1"/>
    <col min="35" max="35" width="3.26953125" style="187" customWidth="1"/>
    <col min="36" max="36" width="4.26953125" customWidth="1"/>
    <col min="37" max="37" width="3.26953125" customWidth="1"/>
    <col min="38" max="38" width="20.81640625" customWidth="1"/>
    <col min="39" max="39" width="5.81640625" customWidth="1"/>
    <col min="40" max="43" width="4.26953125" customWidth="1"/>
    <col min="44" max="45" width="4.7265625" customWidth="1"/>
    <col min="46" max="46" width="4.81640625" customWidth="1"/>
    <col min="47" max="47" width="3.26953125" style="190" customWidth="1"/>
    <col min="48" max="48" width="18.453125" style="194" customWidth="1"/>
    <col min="49" max="49" width="3.453125" style="7" customWidth="1"/>
    <col min="50" max="50" width="3.453125" style="4" customWidth="1"/>
    <col min="51" max="51" width="19.7265625" style="15" customWidth="1"/>
    <col min="52" max="52" width="15.81640625" style="7" customWidth="1"/>
    <col min="53" max="53" width="3" customWidth="1"/>
    <col min="54" max="54" width="11" hidden="1" customWidth="1"/>
    <col min="55" max="55" width="6" hidden="1" customWidth="1"/>
    <col min="56" max="56" width="17" hidden="1" customWidth="1"/>
    <col min="57" max="57" width="9.26953125" hidden="1" customWidth="1"/>
    <col min="58" max="58" width="2.1796875" hidden="1" customWidth="1"/>
    <col min="59" max="59" width="8.26953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7265625" hidden="1" customWidth="1"/>
    <col min="67" max="69" width="10" hidden="1" customWidth="1"/>
    <col min="70" max="71" width="7.26953125" hidden="1" customWidth="1"/>
    <col min="72" max="100" width="8" hidden="1" customWidth="1"/>
    <col min="101" max="101" width="4.1796875" hidden="1" customWidth="1"/>
    <col min="102" max="102" width="7.26953125" hidden="1" customWidth="1"/>
    <col min="103" max="103" width="0" hidden="1" customWidth="1"/>
    <col min="104" max="104" width="3.1796875" hidden="1" customWidth="1"/>
    <col min="105" max="105" width="8.7265625" hidden="1" customWidth="1"/>
    <col min="106" max="106" width="8" hidden="1" customWidth="1"/>
    <col min="107" max="107" width="15.81640625" hidden="1" customWidth="1"/>
    <col min="108" max="108" width="11" hidden="1" customWidth="1"/>
    <col min="109" max="109" width="2.72656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46184.625</v>
      </c>
      <c r="Y4" s="25">
        <f ca="1">Horarios!C4</f>
        <v>46184.625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46184.916666666664</v>
      </c>
      <c r="Y5" s="25">
        <f ca="1">Horarios!C5</f>
        <v>46184.916666666664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46191.5</v>
      </c>
      <c r="Y6" s="25">
        <f ca="1">Horarios!C6</f>
        <v>46191.5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46191.875</v>
      </c>
      <c r="Y7" s="25">
        <f ca="1">Horarios!C7</f>
        <v>46191.875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46197.875</v>
      </c>
      <c r="Y8" s="25">
        <f ca="1">Horarios!C8</f>
        <v>46197.875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46197.875</v>
      </c>
      <c r="Y9" s="29">
        <f ca="1">Horarios!C9</f>
        <v>46197.875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40" t="s">
        <v>1</v>
      </c>
      <c r="X12" s="24">
        <f ca="1">Horarios!C12</f>
        <v>46185.625</v>
      </c>
      <c r="Y12" s="25">
        <f ca="1">Horarios!C12</f>
        <v>46185.625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46186.625</v>
      </c>
      <c r="Y13" s="25">
        <f ca="1">Horarios!C13</f>
        <v>46186.625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40"/>
      <c r="X14" s="24">
        <f ca="1">Horarios!C14</f>
        <v>46191.625</v>
      </c>
      <c r="Y14" s="25">
        <f ca="1">Horarios!C14</f>
        <v>46191.625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40"/>
      <c r="X15" s="24">
        <f ca="1">Horarios!C15</f>
        <v>46191.75</v>
      </c>
      <c r="Y15" s="25">
        <f ca="1">Horarios!C15</f>
        <v>46191.75</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40"/>
      <c r="X16" s="24">
        <f ca="1">Horarios!C16</f>
        <v>46197.625</v>
      </c>
      <c r="Y16" s="25">
        <f ca="1">Horarios!C16</f>
        <v>46197.625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41"/>
      <c r="X17" s="28">
        <f ca="1">Horarios!C17</f>
        <v>46197.625</v>
      </c>
      <c r="Y17" s="29">
        <f ca="1">Horarios!C17</f>
        <v>46197.625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9" t="s">
        <v>2</v>
      </c>
      <c r="X20" s="24">
        <f ca="1">Horarios!C20</f>
        <v>46186.75</v>
      </c>
      <c r="Y20" s="25">
        <f ca="1">Horarios!C20</f>
        <v>46186.75</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46186.875</v>
      </c>
      <c r="Y21" s="25">
        <f ca="1">Horarios!C21</f>
        <v>46186.875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9"/>
      <c r="X22" s="24">
        <f ca="1">Horarios!C22</f>
        <v>46192.75</v>
      </c>
      <c r="Y22" s="25">
        <f ca="1">Horarios!C22</f>
        <v>46192.75</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9"/>
      <c r="X23" s="24">
        <f ca="1">Horarios!C23</f>
        <v>46192.854166666664</v>
      </c>
      <c r="Y23" s="25">
        <f ca="1">Horarios!C23</f>
        <v>46192.854166666664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9"/>
      <c r="X24" s="24">
        <f ca="1">Horarios!C24</f>
        <v>46197.75</v>
      </c>
      <c r="Y24" s="25">
        <f ca="1">Horarios!C24</f>
        <v>46197.75</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50"/>
      <c r="X25" s="28">
        <f ca="1">Horarios!C25</f>
        <v>46197.75</v>
      </c>
      <c r="Y25" s="29">
        <f ca="1">Horarios!C25</f>
        <v>46197.75</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51" t="s">
        <v>74</v>
      </c>
      <c r="X28" s="24">
        <f ca="1">Horarios!C28</f>
        <v>46185.875</v>
      </c>
      <c r="Y28" s="25">
        <f ca="1">Horarios!C28</f>
        <v>46185.875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51"/>
      <c r="X29" s="24">
        <f ca="1">Horarios!C29</f>
        <v>46187</v>
      </c>
      <c r="Y29" s="25">
        <f ca="1">Horarios!C29</f>
        <v>46187</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51"/>
      <c r="X30" s="24">
        <f ca="1">Horarios!C30</f>
        <v>46192.625</v>
      </c>
      <c r="Y30" s="25">
        <f ca="1">Horarios!C30</f>
        <v>46192.625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51"/>
      <c r="X31" s="24">
        <f ca="1">Horarios!C31</f>
        <v>46192.958333333336</v>
      </c>
      <c r="Y31" s="25">
        <f ca="1">Horarios!C31</f>
        <v>46192.958333333336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46198.916666666664</v>
      </c>
      <c r="Y32" s="25">
        <f ca="1">Horarios!C32</f>
        <v>46198.916666666664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52"/>
      <c r="X33" s="28">
        <f ca="1">Horarios!C33</f>
        <v>46198.916666666664</v>
      </c>
      <c r="Y33" s="29">
        <f ca="1">Horarios!C33</f>
        <v>46198.916666666664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3</v>
      </c>
      <c r="X36" s="24">
        <f ca="1">Horarios!C36</f>
        <v>46187.541666666664</v>
      </c>
      <c r="Y36" s="25">
        <f ca="1">Horarios!C36</f>
        <v>46187.541666666664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46187.791666666664</v>
      </c>
      <c r="Y37" s="25">
        <f ca="1">Horarios!C37</f>
        <v>46187.791666666664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46193.666666666664</v>
      </c>
      <c r="Y38" s="25">
        <f ca="1">Horarios!C38</f>
        <v>46193.666666666664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46193.833333333336</v>
      </c>
      <c r="Y39" s="25">
        <f ca="1">Horarios!C39</f>
        <v>46193.833333333336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46198.666666666664</v>
      </c>
      <c r="Y40" s="25">
        <f ca="1">Horarios!C40</f>
        <v>46198.666666666664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46198.666666666664</v>
      </c>
      <c r="Y41" s="29">
        <f ca="1">Horarios!C41</f>
        <v>46198.666666666664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46187.666666666664</v>
      </c>
      <c r="Y44" s="25">
        <f ca="1">Horarios!C44</f>
        <v>46187.666666666664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46187.916666666664</v>
      </c>
      <c r="Y45" s="25">
        <f ca="1">Horarios!C45</f>
        <v>46187.916666666664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46193.541666666664</v>
      </c>
      <c r="Y46" s="25">
        <f ca="1">Horarios!C46</f>
        <v>46193.541666666664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v>
      </c>
      <c r="Y47" s="25">
        <f ca="1">Horarios!C47</f>
        <v>46194</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46198.791666666664</v>
      </c>
      <c r="Y48" s="25">
        <f ca="1">Horarios!C48</f>
        <v>46198.791666666664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46198.791666666664</v>
      </c>
      <c r="Y49" s="29">
        <f ca="1">Horarios!C49</f>
        <v>46198.791666666664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6</v>
      </c>
      <c r="X52" s="24">
        <f ca="1">Horarios!C52</f>
        <v>46188.625</v>
      </c>
      <c r="Y52" s="25">
        <f ca="1">Horarios!C52</f>
        <v>46188.625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46188.875</v>
      </c>
      <c r="Y53" s="25">
        <f ca="1">Horarios!C53</f>
        <v>46188.875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83"/>
      <c r="X54" s="24">
        <f ca="1">Horarios!C54</f>
        <v>46194.625</v>
      </c>
      <c r="Y54" s="25">
        <f ca="1">Horarios!C54</f>
        <v>46194.625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83"/>
      <c r="X55" s="24">
        <f ca="1">Horarios!C55</f>
        <v>46194.875</v>
      </c>
      <c r="Y55" s="25">
        <f ca="1">Horarios!C55</f>
        <v>46194.875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83"/>
      <c r="X56" s="24">
        <f ca="1">Horarios!C56</f>
        <v>46199.958333333336</v>
      </c>
      <c r="Y56" s="25">
        <f ca="1">Horarios!C56</f>
        <v>46199.958333333336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84"/>
      <c r="X57" s="28">
        <f ca="1">Horarios!C57</f>
        <v>46199.958333333336</v>
      </c>
      <c r="Y57" s="29">
        <f ca="1">Horarios!C57</f>
        <v>46199.958333333336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46188.5</v>
      </c>
      <c r="Y60" s="25">
        <f ca="1">Horarios!C60</f>
        <v>46188.5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6"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65"/>
      <c r="X61" s="24">
        <f ca="1">Horarios!C61</f>
        <v>46188.75</v>
      </c>
      <c r="Y61" s="25">
        <f ca="1">Horarios!C61</f>
        <v>46188.75</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6"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65"/>
      <c r="X62" s="24">
        <f ca="1">Horarios!C62</f>
        <v>46194.5</v>
      </c>
      <c r="Y62" s="25">
        <f ca="1">Horarios!C62</f>
        <v>46194.5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65"/>
      <c r="X63" s="24">
        <f ca="1">Horarios!C63</f>
        <v>46194.75</v>
      </c>
      <c r="Y63" s="25">
        <f ca="1">Horarios!C63</f>
        <v>46194.75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65"/>
      <c r="X64" s="24">
        <f ca="1">Horarios!C64</f>
        <v>46199.833333333336</v>
      </c>
      <c r="Y64" s="25">
        <f ca="1">Horarios!C64</f>
        <v>46199.833333333336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66"/>
      <c r="X65" s="28">
        <f ca="1">Horarios!C65</f>
        <v>46199.833333333336</v>
      </c>
      <c r="Y65" s="29">
        <f ca="1">Horarios!C65</f>
        <v>46199.833333333336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46189.625</v>
      </c>
      <c r="Y68" s="25">
        <f ca="1">Horarios!C68</f>
        <v>46189.625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46189.75</v>
      </c>
      <c r="Y69" s="25">
        <f ca="1">Horarios!C69</f>
        <v>46189.75</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46195.708333333336</v>
      </c>
      <c r="Y70" s="25">
        <f ca="1">Horarios!C70</f>
        <v>46195.708333333336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46195.833333333336</v>
      </c>
      <c r="Y71" s="25">
        <f ca="1">Horarios!C71</f>
        <v>46195.833333333336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46199.625</v>
      </c>
      <c r="Y72" s="25">
        <f ca="1">Horarios!C72</f>
        <v>46199.625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46199.625</v>
      </c>
      <c r="Y73" s="29">
        <f ca="1">Horarios!C73</f>
        <v>46199.625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5</v>
      </c>
      <c r="X76" s="24">
        <f ca="1">Horarios!C76</f>
        <v>46189.875</v>
      </c>
      <c r="Y76" s="25">
        <f ca="1">Horarios!C76</f>
        <v>46189.875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v>
      </c>
      <c r="Y77" s="25">
        <f ca="1">Horarios!C77</f>
        <v>46190</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46195.541666666664</v>
      </c>
      <c r="Y78" s="25">
        <f ca="1">Horarios!C78</f>
        <v>46195.541666666664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46195.958333333336</v>
      </c>
      <c r="Y79" s="25">
        <f ca="1">Horarios!C79</f>
        <v>46195.958333333336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46200.916666666664</v>
      </c>
      <c r="Y80" s="25">
        <f ca="1">Horarios!C80</f>
        <v>46200.916666666664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46200.916666666664</v>
      </c>
      <c r="Y81" s="29">
        <f ca="1">Horarios!C81</f>
        <v>46200.916666666664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73" t="s">
        <v>449</v>
      </c>
      <c r="X84" s="24">
        <f ca="1">Horarios!C84</f>
        <v>46190.541666666664</v>
      </c>
      <c r="Y84" s="25">
        <f ca="1">Horarios!C84</f>
        <v>46190.541666666664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73"/>
      <c r="X85" s="24">
        <f ca="1">Horarios!C85</f>
        <v>46190.916666666664</v>
      </c>
      <c r="Y85" s="25">
        <f ca="1">Horarios!C85</f>
        <v>46190.916666666664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73"/>
      <c r="X86" s="24">
        <f ca="1">Horarios!C86</f>
        <v>46196.541666666664</v>
      </c>
      <c r="Y86" s="25">
        <f ca="1">Horarios!C86</f>
        <v>46196.541666666664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73"/>
      <c r="X87" s="24">
        <f ca="1">Horarios!C87</f>
        <v>46196.916666666664</v>
      </c>
      <c r="Y87" s="25">
        <f ca="1">Horarios!C87</f>
        <v>46196.916666666664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46200.8125</v>
      </c>
      <c r="Y88" s="25">
        <f ca="1">Horarios!C88</f>
        <v>46200.8125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46200.8125</v>
      </c>
      <c r="Y89" s="29">
        <f ca="1">Horarios!C89</f>
        <v>46200.8125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46190.666666666664</v>
      </c>
      <c r="Y92" s="25">
        <f ca="1">Horarios!C92</f>
        <v>46190.666666666664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46190.791666666664</v>
      </c>
      <c r="Y93" s="25">
        <f ca="1">Horarios!C93</f>
        <v>46190.791666666664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46196.666666666664</v>
      </c>
      <c r="Y94" s="25">
        <f ca="1">Horarios!C94</f>
        <v>46196.666666666664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46196.791666666664</v>
      </c>
      <c r="Y95" s="25">
        <f ca="1">Horarios!C95</f>
        <v>46196.791666666664</v>
      </c>
      <c r="Z95" s="26" t="str">
        <f>$Z$6</f>
        <v>J2</v>
      </c>
      <c r="AA95" s="27" t="str">
        <f ca="1">A96</f>
        <v>Panamá</v>
      </c>
      <c r="AB95" s="49" t="str" cm="1">
        <f t="array" aca="1" ref="AB95" ca="1">Ver_flag_local</f>
        <v/>
      </c>
      <c r="AC95" s="50">
        <v>0</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46200.708333333336</v>
      </c>
      <c r="Y96" s="25">
        <f ca="1">Horarios!C96</f>
        <v>46200.708333333336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46200.708333333336</v>
      </c>
      <c r="Y97" s="29">
        <f ca="1">Horarios!C97</f>
        <v>46200.708333333336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493</v>
      </c>
      <c r="X101" s="24">
        <f ca="1">Horarios!C101</f>
        <v>46201.625</v>
      </c>
      <c r="Y101" s="25">
        <f ca="1">Horarios!C101</f>
        <v>46201.625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46202.541666666664</v>
      </c>
      <c r="Y102" s="25">
        <f ca="1">Horarios!C102</f>
        <v>46202.541666666664</v>
      </c>
      <c r="Z102" s="280">
        <f t="shared" ref="Z102:Z116" si="296">AH102</f>
        <v>76</v>
      </c>
      <c r="AA102" s="88" t="str">
        <f t="shared" ca="1" si="292"/>
        <v>Brasil</v>
      </c>
      <c r="AB102" s="89"/>
      <c r="AC102" s="92">
        <v>1</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46202.6875</v>
      </c>
      <c r="Y103" s="25">
        <f ca="1">Horarios!C103</f>
        <v>46202.6875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46202.875</v>
      </c>
      <c r="Y104" s="25">
        <f ca="1">Horarios!C104</f>
        <v>46202.875</v>
      </c>
      <c r="Z104" s="280">
        <f t="shared" si="296"/>
        <v>75</v>
      </c>
      <c r="AA104" s="88" t="str">
        <f t="shared" ca="1" si="292"/>
        <v>Países Bajos</v>
      </c>
      <c r="AB104" s="89"/>
      <c r="AC104" s="92">
        <v>1</v>
      </c>
      <c r="AD104" s="92">
        <v>3</v>
      </c>
      <c r="AE104" s="89"/>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6"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46203.541666666664</v>
      </c>
      <c r="Y105" s="25">
        <f ca="1">Horarios!C105</f>
        <v>46203.541666666664</v>
      </c>
      <c r="Z105" s="280">
        <f t="shared" si="296"/>
        <v>78</v>
      </c>
      <c r="AA105" s="88" t="str">
        <f t="shared" ca="1" si="292"/>
        <v>Costa de Marfil</v>
      </c>
      <c r="AB105" s="89"/>
      <c r="AC105" s="92">
        <v>1</v>
      </c>
      <c r="AD105" s="92">
        <v>3</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46203.708333333336</v>
      </c>
      <c r="Y106" s="25">
        <f ca="1">Horarios!C106</f>
        <v>46203.708333333336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75"/>
      <c r="X107" s="24">
        <f ca="1">Horarios!C107</f>
        <v>46203.875</v>
      </c>
      <c r="Y107" s="25">
        <f ca="1">Horarios!C107</f>
        <v>46203.875</v>
      </c>
      <c r="Z107" s="280">
        <f t="shared" si="296"/>
        <v>79</v>
      </c>
      <c r="AA107" s="88" t="str">
        <f t="shared" ca="1" si="292"/>
        <v>México</v>
      </c>
      <c r="AB107" s="89">
        <v>4</v>
      </c>
      <c r="AC107" s="92">
        <v>1</v>
      </c>
      <c r="AD107" s="92">
        <v>1</v>
      </c>
      <c r="AE107" s="89">
        <v>2</v>
      </c>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75"/>
      <c r="X108" s="24">
        <f ca="1">Horarios!C108</f>
        <v>46204.5</v>
      </c>
      <c r="Y108" s="25">
        <f ca="1">Horarios!C108</f>
        <v>46204.5</v>
      </c>
      <c r="Z108" s="280">
        <f t="shared" si="296"/>
        <v>80</v>
      </c>
      <c r="AA108" s="88" t="str">
        <f t="shared" ca="1" si="292"/>
        <v>Inglaterra</v>
      </c>
      <c r="AB108" s="89"/>
      <c r="AC108" s="92">
        <v>3</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c r="A109" s="16" t="s">
        <v>669</v>
      </c>
      <c r="B109" s="16" t="s">
        <v>737</v>
      </c>
      <c r="C109" s="16"/>
      <c r="D109" s="16" t="str">
        <f t="shared" ca="1" si="289"/>
        <v>Senegal</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46204.666666666664</v>
      </c>
      <c r="Y109" s="25">
        <f ca="1">Horarios!C109</f>
        <v>46204.666666666664</v>
      </c>
      <c r="Z109" s="280">
        <f t="shared" si="296"/>
        <v>82</v>
      </c>
      <c r="AA109" s="88" t="str">
        <f t="shared" ca="1" si="292"/>
        <v>Bélgica</v>
      </c>
      <c r="AB109" s="89">
        <v>4</v>
      </c>
      <c r="AC109" s="92">
        <v>1</v>
      </c>
      <c r="AD109" s="92">
        <v>1</v>
      </c>
      <c r="AE109" s="89">
        <v>5</v>
      </c>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75"/>
      <c r="X110" s="24">
        <f ca="1">Horarios!C110</f>
        <v>46204.833333333336</v>
      </c>
      <c r="Y110" s="25">
        <f ca="1">Horarios!C110</f>
        <v>46204.833333333336</v>
      </c>
      <c r="Z110" s="280">
        <f t="shared" si="296"/>
        <v>81</v>
      </c>
      <c r="AA110" s="88" t="str">
        <f t="shared" ca="1" si="292"/>
        <v>Estados Unidos</v>
      </c>
      <c r="AB110" s="89"/>
      <c r="AC110" s="92">
        <v>3</v>
      </c>
      <c r="AD110" s="92">
        <v>1</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46205.625</v>
      </c>
      <c r="Y111" s="25">
        <f ca="1">Horarios!C111</f>
        <v>46205.625</v>
      </c>
      <c r="Z111" s="280">
        <f t="shared" si="296"/>
        <v>84</v>
      </c>
      <c r="AA111" s="88" t="str">
        <f t="shared" ca="1" si="292"/>
        <v>España</v>
      </c>
      <c r="AB111" s="89"/>
      <c r="AC111" s="92">
        <v>3</v>
      </c>
      <c r="AD111" s="92">
        <v>1</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46205.791666666664</v>
      </c>
      <c r="Y112" s="25">
        <f ca="1">Horarios!C112</f>
        <v>46205.791666666664</v>
      </c>
      <c r="Z112" s="280">
        <f t="shared" si="296"/>
        <v>83</v>
      </c>
      <c r="AA112" s="88" t="str">
        <f t="shared" ca="1" si="292"/>
        <v>Portugal</v>
      </c>
      <c r="AB112" s="89">
        <v>5</v>
      </c>
      <c r="AC112" s="92">
        <v>1</v>
      </c>
      <c r="AD112" s="92">
        <v>1</v>
      </c>
      <c r="AE112" s="89">
        <v>3</v>
      </c>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75"/>
      <c r="X113" s="24">
        <f ca="1">Horarios!C113</f>
        <v>46205.958333333336</v>
      </c>
      <c r="Y113" s="25">
        <f ca="1">Horarios!C113</f>
        <v>46205.958333333336</v>
      </c>
      <c r="Z113" s="280">
        <f t="shared" si="296"/>
        <v>85</v>
      </c>
      <c r="AA113" s="88" t="str">
        <f t="shared" ca="1" si="292"/>
        <v>Suiza</v>
      </c>
      <c r="AB113" s="89"/>
      <c r="AC113" s="92">
        <v>3</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75"/>
      <c r="X114" s="24">
        <f ca="1">Horarios!C114</f>
        <v>46206.583333333336</v>
      </c>
      <c r="Y114" s="25">
        <f ca="1">Horarios!C114</f>
        <v>46206.583333333336</v>
      </c>
      <c r="Z114" s="280">
        <f t="shared" si="296"/>
        <v>88</v>
      </c>
      <c r="AA114" s="88" t="str">
        <f t="shared" ca="1" si="292"/>
        <v>Australia</v>
      </c>
      <c r="AB114" s="89"/>
      <c r="AC114" s="92">
        <v>0</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46206.75</v>
      </c>
      <c r="Y115" s="25">
        <f ca="1">Horarios!C115</f>
        <v>46206.75</v>
      </c>
      <c r="Z115" s="280">
        <f t="shared" si="296"/>
        <v>86</v>
      </c>
      <c r="AA115" s="88" t="str">
        <f t="shared" ca="1" si="292"/>
        <v>Argentina</v>
      </c>
      <c r="AB115" s="89"/>
      <c r="AC115" s="92">
        <v>4</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46206.895833333336</v>
      </c>
      <c r="Y116" s="29">
        <f ca="1">Horarios!C116</f>
        <v>46206.895833333336</v>
      </c>
      <c r="Z116" s="281">
        <f t="shared" si="296"/>
        <v>87</v>
      </c>
      <c r="AA116" s="93" t="str">
        <f t="shared" ca="1" si="292"/>
        <v>Colombia</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1</v>
      </c>
      <c r="AD120" s="96">
        <v>3</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77"/>
      <c r="X121" s="24">
        <f ca="1">Horarios!C121</f>
        <v>46207.708333333336</v>
      </c>
      <c r="Y121" s="25">
        <f ca="1">Horarios!C121</f>
        <v>46207.708333333336</v>
      </c>
      <c r="Z121" s="280">
        <f t="shared" si="319"/>
        <v>89</v>
      </c>
      <c r="AA121" s="88" t="str">
        <f t="shared" ca="1" si="320"/>
        <v>Alemania</v>
      </c>
      <c r="AB121" s="89"/>
      <c r="AC121" s="97">
        <v>2</v>
      </c>
      <c r="AD121" s="97">
        <v>0</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46208.666666666664</v>
      </c>
      <c r="Y122" s="25">
        <f ca="1">Horarios!C122</f>
        <v>46208.666666666664</v>
      </c>
      <c r="Z122" s="280">
        <f t="shared" si="319"/>
        <v>91</v>
      </c>
      <c r="AA122" s="88" t="str">
        <f t="shared" ca="1" si="320"/>
        <v>Brasil</v>
      </c>
      <c r="AB122" s="89"/>
      <c r="AC122" s="97">
        <v>3</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77"/>
      <c r="X123" s="24">
        <f ca="1">Horarios!C123</f>
        <v>46208.833333333336</v>
      </c>
      <c r="Y123" s="25">
        <f ca="1">Horarios!C123</f>
        <v>46208.833333333336</v>
      </c>
      <c r="Z123" s="280">
        <f t="shared" si="319"/>
        <v>92</v>
      </c>
      <c r="AA123" s="88" t="str">
        <f t="shared" ca="1" si="320"/>
        <v>México</v>
      </c>
      <c r="AB123" s="89"/>
      <c r="AC123" s="97">
        <v>0</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77"/>
      <c r="X124" s="24">
        <f ca="1">Horarios!C124</f>
        <v>46209.625</v>
      </c>
      <c r="Y124" s="25">
        <f ca="1">Horarios!C124</f>
        <v>46209.625</v>
      </c>
      <c r="Z124" s="280">
        <f t="shared" si="319"/>
        <v>93</v>
      </c>
      <c r="AA124" s="88" t="str">
        <f t="shared" ca="1" si="320"/>
        <v>Portugal</v>
      </c>
      <c r="AB124" s="98"/>
      <c r="AC124" s="97">
        <v>0</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Senegal</v>
      </c>
      <c r="O125" s="16"/>
      <c r="P125" s="16"/>
      <c r="Q125" s="16"/>
      <c r="R125" s="16"/>
      <c r="S125" s="16"/>
      <c r="T125" s="16"/>
      <c r="U125" s="16"/>
      <c r="V125" s="17"/>
      <c r="W125" s="677"/>
      <c r="X125" s="24">
        <f ca="1">Horarios!C125</f>
        <v>46209.833333333336</v>
      </c>
      <c r="Y125" s="25">
        <f ca="1">Horarios!C125</f>
        <v>46209.833333333336</v>
      </c>
      <c r="Z125" s="280">
        <f t="shared" si="319"/>
        <v>94</v>
      </c>
      <c r="AA125" s="88" t="str">
        <f t="shared" ca="1" si="320"/>
        <v>Estados Unidos</v>
      </c>
      <c r="AB125" s="89"/>
      <c r="AC125" s="99">
        <v>3</v>
      </c>
      <c r="AD125" s="99">
        <v>1</v>
      </c>
      <c r="AE125" s="89"/>
      <c r="AF125" s="91" t="str">
        <f t="shared" ca="1" si="321"/>
        <v>Senegal</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77"/>
      <c r="X126" s="24">
        <f ca="1">Horarios!C126</f>
        <v>46210.5</v>
      </c>
      <c r="Y126" s="25">
        <f ca="1">Horarios!C126</f>
        <v>46210.5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8"/>
      <c r="X127" s="28">
        <f ca="1">Horarios!C127</f>
        <v>46210.666666666664</v>
      </c>
      <c r="Y127" s="29">
        <f ca="1">Horarios!C127</f>
        <v>46210.666666666664</v>
      </c>
      <c r="Z127" s="281">
        <f t="shared" si="319"/>
        <v>96</v>
      </c>
      <c r="AA127" s="93" t="str">
        <f t="shared" ca="1" si="320"/>
        <v>Suiza</v>
      </c>
      <c r="AB127" s="94">
        <v>5</v>
      </c>
      <c r="AC127" s="100">
        <v>1</v>
      </c>
      <c r="AD127" s="100">
        <v>1</v>
      </c>
      <c r="AE127" s="94">
        <v>3</v>
      </c>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Marruecos</v>
      </c>
      <c r="O131" s="16"/>
      <c r="P131" s="16"/>
      <c r="Q131" s="16"/>
      <c r="R131" s="16"/>
      <c r="S131" s="16"/>
      <c r="T131" s="16"/>
      <c r="U131" s="16"/>
      <c r="V131" s="17"/>
      <c r="W131" s="679" t="s">
        <v>36</v>
      </c>
      <c r="X131" s="24">
        <f ca="1">Horarios!C131</f>
        <v>46212.666666666664</v>
      </c>
      <c r="Y131" s="25">
        <f ca="1">Horarios!C131</f>
        <v>46212.666666666664</v>
      </c>
      <c r="Z131" s="282">
        <f t="shared" ref="Z131:Z134" si="324">AH131</f>
        <v>97</v>
      </c>
      <c r="AA131" s="88" t="str">
        <f t="shared" ref="AA131:AA134" ca="1" si="325">+INDEX($M$101:$M$147,MATCH(AH131,$J$101:$J$147,0))</f>
        <v>Alemania</v>
      </c>
      <c r="AB131" s="98">
        <v>4</v>
      </c>
      <c r="AC131" s="96">
        <v>2</v>
      </c>
      <c r="AD131" s="96">
        <v>2</v>
      </c>
      <c r="AE131" s="90">
        <v>3</v>
      </c>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9"/>
      <c r="X132" s="24">
        <f ca="1">Horarios!C132</f>
        <v>46213.625</v>
      </c>
      <c r="Y132" s="25">
        <f ca="1">Horarios!C132</f>
        <v>46213.625</v>
      </c>
      <c r="Z132" s="282">
        <f t="shared" si="324"/>
        <v>98</v>
      </c>
      <c r="AA132" s="88" t="str">
        <f t="shared" ca="1" si="325"/>
        <v>España</v>
      </c>
      <c r="AB132" s="89"/>
      <c r="AC132" s="99">
        <v>1</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9"/>
      <c r="X133" s="24">
        <f ca="1">Horarios!C133</f>
        <v>46214.708333333336</v>
      </c>
      <c r="Y133" s="25">
        <f ca="1">Horarios!C133</f>
        <v>46214.708333333336</v>
      </c>
      <c r="Z133" s="282">
        <f t="shared" si="324"/>
        <v>99</v>
      </c>
      <c r="AA133" s="88" t="str">
        <f t="shared" ca="1" si="325"/>
        <v>Brasil</v>
      </c>
      <c r="AB133" s="89"/>
      <c r="AC133" s="99">
        <v>1</v>
      </c>
      <c r="AD133" s="99">
        <v>3</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80"/>
      <c r="X134" s="28">
        <f ca="1">Horarios!C134</f>
        <v>46214.875</v>
      </c>
      <c r="Y134" s="29">
        <f ca="1">Horarios!C134</f>
        <v>46214.875</v>
      </c>
      <c r="Z134" s="283">
        <f t="shared" si="324"/>
        <v>100</v>
      </c>
      <c r="AA134" s="93" t="str">
        <f t="shared" ca="1" si="325"/>
        <v>Argentina</v>
      </c>
      <c r="AB134" s="94"/>
      <c r="AC134" s="100">
        <v>2</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Alemania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Alemania</v>
      </c>
      <c r="N138" s="16" t="str">
        <f ca="1">+INDEX($D$101:$D$147,MATCH(F138,$AH$101:$AH$147,0))</f>
        <v>España</v>
      </c>
      <c r="O138" s="16"/>
      <c r="P138" s="16"/>
      <c r="Q138" s="16"/>
      <c r="R138" s="16"/>
      <c r="S138" s="16"/>
      <c r="T138" s="16"/>
      <c r="U138" s="16"/>
      <c r="V138" s="17"/>
      <c r="W138" s="681" t="s">
        <v>37</v>
      </c>
      <c r="X138" s="24">
        <f ca="1">Horarios!C138</f>
        <v>46217.625</v>
      </c>
      <c r="Y138" s="25">
        <f ca="1">Horarios!C138</f>
        <v>46217.625</v>
      </c>
      <c r="Z138" s="282">
        <f t="shared" ref="Z138:Z139" si="326">AH138</f>
        <v>101</v>
      </c>
      <c r="AA138" s="88" t="str">
        <f t="shared" ref="AA138:AA139" ca="1" si="327">+INDEX($M$101:$M$147,MATCH(AH138,$J$101:$J$147,0))</f>
        <v>Alemania</v>
      </c>
      <c r="AB138" s="89"/>
      <c r="AC138" s="101">
        <v>1</v>
      </c>
      <c r="AD138" s="101">
        <v>0</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82"/>
      <c r="X139" s="123">
        <f ca="1">Horarios!C139</f>
        <v>46218.625</v>
      </c>
      <c r="Y139" s="124">
        <f ca="1">Horarios!C139</f>
        <v>46218.625</v>
      </c>
      <c r="Z139" s="284">
        <f t="shared" si="326"/>
        <v>102</v>
      </c>
      <c r="AA139" s="139" t="str">
        <f t="shared" ca="1" si="327"/>
        <v>Inglaterra</v>
      </c>
      <c r="AB139" s="140"/>
      <c r="AC139" s="100">
        <v>2</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Argentina</v>
      </c>
      <c r="E143" s="16">
        <v>101</v>
      </c>
      <c r="F143" s="16">
        <v>102</v>
      </c>
      <c r="G143" s="16"/>
      <c r="H143" s="16"/>
      <c r="I143" s="16"/>
      <c r="J143" s="16">
        <v>103</v>
      </c>
      <c r="K143" s="16">
        <v>46221.875</v>
      </c>
      <c r="L143" s="16" t="s">
        <v>726</v>
      </c>
      <c r="M143" s="16" t="str">
        <f ca="1">+INDEX($D$101:$D$147,MATCH(E143,$AH$101:$AH$147,0))</f>
        <v>Alemania</v>
      </c>
      <c r="N143" s="16" t="str">
        <f ca="1">+INDEX($D$101:$D$147,MATCH(F143,$AH$101:$AH$147,0))</f>
        <v>Inglaterra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España</v>
      </c>
      <c r="AB143" s="216"/>
      <c r="AC143" s="105">
        <v>0</v>
      </c>
      <c r="AD143" s="105">
        <v>2</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Alemania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727</v>
      </c>
      <c r="M147" s="16" t="str">
        <f ca="1">+INDEX($D$101:$D$147,MATCH(E147,$AH$101:$AH$147,0))</f>
        <v>Alemania</v>
      </c>
      <c r="N147" s="16" t="str">
        <f ca="1">+INDEX($D$101:$D$147,MATCH(F147,$AH$101:$AH$147,0))</f>
        <v>Inglaterra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Alemania</v>
      </c>
      <c r="AB147" s="216">
        <v>4</v>
      </c>
      <c r="AC147" s="105">
        <v>1</v>
      </c>
      <c r="AD147" s="105">
        <v>1</v>
      </c>
      <c r="AE147" s="216">
        <v>3</v>
      </c>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Alemania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43" t="str">
        <f ca="1">IF(SUM(COUNTIF(AG4:AG97,0),COUNTIF(AG101:AG160,0)&gt;0),AL148,AL149)</f>
        <v>PORRA COMPLETA:</v>
      </c>
      <c r="AK151" s="644"/>
      <c r="AL151" s="644"/>
      <c r="AM151" s="644"/>
      <c r="AN151" s="644"/>
      <c r="AO151" s="644"/>
      <c r="AP151" s="644"/>
      <c r="AQ151" s="644"/>
      <c r="AR151" s="644"/>
      <c r="AS151" s="644"/>
      <c r="AT151" s="644"/>
      <c r="AU151" s="64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Argentina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57" t="str">
        <f ca="1">IF(SUM(COUNTIF(AG4:AG97,0),COUNTIF(AG101:AG160,0)&gt;0),AM148,AM149)</f>
        <v>Guarda el archivo y envialo al administrador de tu porra</v>
      </c>
      <c r="AK155" s="658"/>
      <c r="AL155" s="658"/>
      <c r="AM155" s="658"/>
      <c r="AN155" s="658"/>
      <c r="AO155" s="658"/>
      <c r="AP155" s="658"/>
      <c r="AQ155" s="658"/>
      <c r="AR155" s="658"/>
      <c r="AS155" s="658"/>
      <c r="AT155" s="658"/>
      <c r="AU155" s="659"/>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4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5"/>
  <cols>
    <col min="1" max="1" width="10.81640625" style="13" customWidth="1"/>
    <col min="2" max="2" width="29.453125" customWidth="1"/>
    <col min="3" max="3" width="35" customWidth="1"/>
    <col min="4" max="4" width="12.7265625" style="369" customWidth="1"/>
    <col min="5" max="8" width="10.81640625" style="369" customWidth="1"/>
    <col min="9" max="9" width="3.1796875" style="369" customWidth="1"/>
    <col min="10" max="12" width="10.81640625" style="369" customWidth="1"/>
    <col min="13" max="13" width="3.7265625" style="369" customWidth="1"/>
    <col min="14" max="14" width="4.7265625" style="369" customWidth="1"/>
    <col min="15" max="15" width="4" customWidth="1"/>
    <col min="16" max="16" width="4.81640625" customWidth="1"/>
    <col min="17" max="16384" width="10.81640625" style="1" hidden="1"/>
  </cols>
  <sheetData>
    <row r="1" spans="1:14" ht="20.149999999999999"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49999999999999" customHeight="1" thickBot="1">
      <c r="A2" s="290"/>
      <c r="B2" s="291"/>
      <c r="C2" s="291"/>
      <c r="D2" s="368"/>
      <c r="E2" s="698"/>
      <c r="F2" s="698"/>
      <c r="G2" s="698"/>
      <c r="H2" s="698"/>
      <c r="I2" s="698"/>
      <c r="J2" s="698"/>
      <c r="K2" s="698"/>
      <c r="L2" s="698"/>
      <c r="M2" s="698"/>
      <c r="N2" s="698"/>
    </row>
    <row r="3" spans="1:14" ht="35.15"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49999999999999"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Brasil-Japón·1|1-0</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Bajos-Marruecos·2|1-3</v>
      </c>
      <c r="D167" s="706"/>
      <c r="E167" s="692"/>
      <c r="F167" s="692"/>
      <c r="G167" s="692"/>
      <c r="H167" s="692"/>
      <c r="I167" s="352"/>
      <c r="J167" s="370"/>
      <c r="K167" s="370"/>
      <c r="L167" s="370"/>
      <c r="M167" s="386"/>
      <c r="N167" s="377"/>
    </row>
    <row r="168" spans="1:14" ht="15" customHeight="1">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Marfil-Noruega·2|1-3</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706"/>
      <c r="E169" s="370"/>
      <c r="F169" s="370"/>
      <c r="G169" s="370"/>
      <c r="H169" s="370"/>
      <c r="I169" s="352"/>
      <c r="J169" s="370"/>
      <c r="K169" s="370"/>
      <c r="L169" s="370"/>
      <c r="M169" s="386"/>
      <c r="N169" s="377"/>
    </row>
    <row r="170" spans="1:14" ht="15" customHeight="1">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México-Ecuador·X|1-1</v>
      </c>
      <c r="D170" s="706"/>
      <c r="E170" s="370"/>
      <c r="F170" s="370"/>
      <c r="G170" s="370"/>
      <c r="H170" s="370"/>
      <c r="I170" s="352"/>
      <c r="J170" s="370"/>
      <c r="K170" s="370"/>
      <c r="L170" s="370"/>
      <c r="M170" s="386"/>
      <c r="N170" s="377"/>
    </row>
    <row r="171" spans="1:14" ht="15" customHeight="1">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Congo·1|3-0</v>
      </c>
      <c r="D171" s="706"/>
      <c r="E171" s="370"/>
      <c r="F171" s="370"/>
      <c r="G171" s="370"/>
      <c r="H171" s="370"/>
      <c r="I171" s="352"/>
      <c r="J171" s="370"/>
      <c r="K171" s="370"/>
      <c r="L171" s="370"/>
      <c r="M171" s="386"/>
      <c r="N171" s="377"/>
    </row>
    <row r="172" spans="1:14" ht="15" customHeight="1">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Bélgica-Senegal·X|1-1</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Herzegovina·1|3-1</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España-Austria·1|3-1</v>
      </c>
      <c r="D174" s="706"/>
      <c r="E174" s="370"/>
      <c r="F174" s="370"/>
      <c r="G174" s="370"/>
      <c r="H174" s="370"/>
      <c r="I174" s="352"/>
      <c r="J174" s="370"/>
      <c r="K174" s="370"/>
      <c r="L174" s="370"/>
      <c r="M174" s="386"/>
      <c r="N174" s="377"/>
    </row>
    <row r="175" spans="1:14" ht="15" customHeight="1">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706"/>
      <c r="E175" s="370"/>
      <c r="F175" s="370"/>
      <c r="G175" s="370"/>
      <c r="H175" s="370"/>
      <c r="I175" s="352"/>
      <c r="J175" s="370"/>
      <c r="K175" s="370"/>
      <c r="L175" s="370"/>
      <c r="M175" s="386"/>
      <c r="N175" s="377"/>
    </row>
    <row r="176" spans="1:14" ht="15" customHeight="1">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Suiza-Argelia·1|3-0</v>
      </c>
      <c r="D176" s="706"/>
      <c r="E176" s="370"/>
      <c r="F176" s="370"/>
      <c r="G176" s="370"/>
      <c r="H176" s="370"/>
      <c r="I176" s="352"/>
      <c r="J176" s="370"/>
      <c r="K176" s="370"/>
      <c r="L176" s="370"/>
      <c r="M176" s="386"/>
      <c r="N176" s="377"/>
    </row>
    <row r="177" spans="1:14" ht="15" customHeight="1">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Australia-Egipto·2|0-2</v>
      </c>
      <c r="D177" s="706"/>
      <c r="E177" s="370"/>
      <c r="F177" s="370"/>
      <c r="G177" s="370"/>
      <c r="H177" s="370"/>
      <c r="I177" s="352"/>
      <c r="J177" s="370"/>
      <c r="K177" s="370"/>
      <c r="L177" s="370"/>
      <c r="M177" s="386"/>
      <c r="N177" s="377"/>
    </row>
    <row r="178" spans="1:14" ht="15" customHeight="1">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Verde·1|4-0</v>
      </c>
      <c r="D178" s="706"/>
      <c r="E178" s="370"/>
      <c r="F178" s="370"/>
      <c r="G178" s="370"/>
      <c r="H178" s="370"/>
      <c r="I178" s="352"/>
      <c r="J178" s="370"/>
      <c r="K178" s="370"/>
      <c r="L178" s="370"/>
      <c r="M178" s="386"/>
      <c r="N178" s="377"/>
    </row>
    <row r="179" spans="1:14" ht="15" customHeight="1">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Portugal</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Senegal</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Canadá-Marruecos·2|1-3</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Alemania-Francia·1|2-0</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Brasil-Noruega·1|3-1</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México-Inglaterra·2|0-3</v>
      </c>
      <c r="D203" s="686"/>
      <c r="E203" s="685"/>
      <c r="F203" s="685"/>
      <c r="G203" s="685"/>
      <c r="H203" s="685"/>
      <c r="I203" s="352"/>
      <c r="J203" s="370"/>
      <c r="K203" s="370"/>
      <c r="L203" s="370"/>
      <c r="M203" s="386"/>
      <c r="N203" s="377"/>
    </row>
    <row r="204" spans="1:14" ht="15" customHeight="1">
      <c r="A204" s="703"/>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Portugal-España·2|0-2</v>
      </c>
      <c r="D204" s="686"/>
      <c r="E204" s="352"/>
      <c r="F204" s="352"/>
      <c r="G204" s="352"/>
      <c r="H204" s="352"/>
      <c r="I204" s="352"/>
      <c r="J204" s="370"/>
      <c r="K204" s="370"/>
      <c r="L204" s="370"/>
      <c r="M204" s="386"/>
      <c r="N204" s="377"/>
    </row>
    <row r="205" spans="1:14" ht="15" customHeight="1">
      <c r="A205" s="703"/>
      <c r="B205" s="361" t="str">
        <f ca="1">CONCATENATE(WORLDCUP!AA125,"-",WORLDCUP!AF125)</f>
        <v>Estados Unidos-Senegal</v>
      </c>
      <c r="C205" s="351" t="str">
        <f ca="1">CONCATENATE(WORLDCUP!AA125,"-",WORLDCUP!AF125,"·",IF(WORLDCUP!AC125&gt;WORLDCUP!AD125,1,IF(WORLDCUP!AC125&lt;WORLDCUP!AD125,2,IF(AND(WORLDCUP!AC125=WORLDCUP!AD125,WORLDCUP!AC125&lt;&gt;"",WORLDCUP!AD125&lt;&gt;""),"X",0))),"|",WORLDCUP!AC125,"-",WORLDCUP!AD125)</f>
        <v>Estados Unidos-Senegal·1|3-1</v>
      </c>
      <c r="D205" s="686"/>
      <c r="E205" s="352"/>
      <c r="F205" s="352"/>
      <c r="G205" s="352"/>
      <c r="H205" s="352"/>
      <c r="I205" s="352"/>
      <c r="J205" s="370"/>
      <c r="K205" s="370"/>
      <c r="L205" s="370"/>
      <c r="M205" s="386"/>
      <c r="N205" s="377"/>
    </row>
    <row r="206" spans="1:14" ht="15" customHeight="1">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86"/>
      <c r="E206" s="352"/>
      <c r="F206" s="352"/>
      <c r="G206" s="352"/>
      <c r="H206" s="352"/>
      <c r="I206" s="352"/>
      <c r="J206" s="370"/>
      <c r="K206" s="370"/>
      <c r="L206" s="370"/>
      <c r="M206" s="386"/>
      <c r="N206" s="377"/>
    </row>
    <row r="207" spans="1:14" ht="15" customHeight="1">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Suiza-Colombia·X|1-1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Suiza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Alemania-Marruecos</v>
      </c>
      <c r="C220" s="349" t="str">
        <f ca="1">CONCATENATE(WORLDCUP!AA131,"-",WORLDCUP!AF131,"·",IF(WORLDCUP!AC131&gt;WORLDCUP!AD131,1,IF(WORLDCUP!AC131&lt;WORLDCUP!AD131,2,IF(AND(WORLDCUP!AC131=WORLDCUP!AD131,WORLDCUP!AC131&lt;&gt;"",WORLDCUP!AD131&lt;&gt;""),"X",0))),"|",WORLDCUP!AC131,"-",WORLDCUP!AD131)</f>
        <v>Alemania-Marruecos·X|2-2</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Unidos·1|1-0</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Brasil-Inglaterra·2|1-3</v>
      </c>
      <c r="D222" s="706"/>
      <c r="E222" s="685"/>
      <c r="F222" s="685"/>
      <c r="G222" s="685"/>
      <c r="H222" s="685"/>
      <c r="I222" s="352"/>
      <c r="J222" s="370"/>
      <c r="K222" s="370"/>
      <c r="L222" s="370"/>
      <c r="M222" s="386"/>
      <c r="N222" s="377"/>
    </row>
    <row r="223" spans="1:14" ht="15" customHeight="1">
      <c r="A223" s="703"/>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Argentina-Suiza·1|2-0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Alemania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Alemania-España·1|1-0</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Inglaterra-Argentina·1|2-0</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Argentina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Alemania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Inglaterra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España-Argentina</v>
      </c>
      <c r="C244" s="349" t="str">
        <f ca="1">CONCATENATE(WORLDCUP!AA143,"-",WORLDCUP!AF143,"·",IF(WORLDCUP!AC143&gt;WORLDCUP!AD143,1,IF(WORLDCUP!AC143&lt;WORLDCUP!AD143,2,IF(AND(WORLDCUP!AC143=WORLDCUP!AD143,WORLDCUP!AC143&lt;&gt;"",WORLDCUP!AD143&lt;&gt;""),"X",0))),"|",WORLDCUP!AC143,"-",WORLDCUP!AD143)</f>
        <v>España-Argentina·2|0-2</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Alemania-Inglaterra</v>
      </c>
      <c r="C247" s="351" t="str">
        <f ca="1">CONCATENATE(WORLDCUP!AA147,"-",WORLDCUP!AF147,"·",IF(WORLDCUP!AC147&gt;WORLDCUP!AD147,1,IF(WORLDCUP!AC147&lt;WORLDCUP!AD147,2,IF(AND(WORLDCUP!AC147=WORLDCUP!AD147,WORLDCUP!AC147&lt;&gt;"",WORLDCUP!AD147&lt;&gt;""),"X",0))),"|",WORLDCUP!AC147,"-",WORLDCUP!AD147)</f>
        <v>Alemania-Inglaterra·X|1-1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Alemania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Inglaterra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Argentina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Messi</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Mbappe</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Kane</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Olise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Messi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Bellingham</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26953125" style="186" customWidth="1"/>
    <col min="2" max="2" width="2.7265625" style="9" customWidth="1"/>
    <col min="3" max="3" width="5.7265625" style="3" bestFit="1" customWidth="1"/>
    <col min="4" max="5" width="3.26953125" style="3" customWidth="1"/>
    <col min="6" max="6" width="6.1796875" style="3" customWidth="1"/>
    <col min="7" max="7" width="2.453125" style="3" bestFit="1" customWidth="1"/>
    <col min="8" max="9" width="3.81640625" style="3" customWidth="1"/>
    <col min="10" max="10" width="4.453125" style="3" customWidth="1"/>
    <col min="11" max="11" width="5.26953125" style="3" customWidth="1"/>
    <col min="12" max="12" width="3.26953125" style="3" hidden="1" customWidth="1"/>
    <col min="13" max="13" width="1.7265625" style="186" customWidth="1"/>
    <col min="14" max="14" width="2.7265625" style="9" customWidth="1"/>
    <col min="15" max="15" width="4.26953125" style="3" bestFit="1" customWidth="1"/>
    <col min="16" max="17" width="3.26953125" style="3" customWidth="1"/>
    <col min="18" max="18" width="5.1796875" style="3" bestFit="1" customWidth="1"/>
    <col min="19" max="19" width="2.453125" style="3" bestFit="1" customWidth="1"/>
    <col min="20" max="20" width="4.26953125" style="3" bestFit="1" customWidth="1"/>
    <col min="21" max="22" width="3.7265625" style="3" customWidth="1"/>
    <col min="23" max="23" width="4.81640625" style="3" customWidth="1"/>
    <col min="24" max="24" width="4.26953125" style="186" hidden="1" customWidth="1"/>
    <col min="25" max="25" width="2.81640625" style="9" customWidth="1"/>
    <col min="26" max="26" width="7.453125" style="9" bestFit="1" customWidth="1"/>
    <col min="27" max="27" width="9.81640625" style="3" customWidth="1"/>
    <col min="28" max="29" width="4.26953125" style="3" customWidth="1"/>
    <col min="30" max="30" width="2.81640625" style="9" customWidth="1"/>
    <col min="31" max="31" width="9.81640625" style="3" customWidth="1"/>
    <col min="32" max="33" width="4.26953125" style="3" customWidth="1"/>
    <col min="34" max="34" width="2.81640625" style="9" customWidth="1"/>
    <col min="35" max="35" width="9.81640625" style="3" customWidth="1"/>
    <col min="36" max="37" width="4.26953125" style="3" customWidth="1"/>
    <col min="38" max="38" width="2.81640625" style="9" customWidth="1"/>
    <col min="39" max="39" width="9.81640625" style="3" customWidth="1"/>
    <col min="40" max="41" width="4.26953125" style="3" customWidth="1"/>
    <col min="42" max="42" width="2.81640625" style="9" customWidth="1"/>
    <col min="43" max="43" width="9.81640625" style="3" customWidth="1"/>
    <col min="44" max="45" width="4.26953125" style="3" customWidth="1"/>
    <col min="46" max="46" width="2.81640625" style="9" customWidth="1"/>
    <col min="47" max="47" width="9.81640625" style="3" customWidth="1"/>
    <col min="48" max="49" width="4.26953125" style="3" customWidth="1"/>
    <col min="50" max="50" width="4" style="3" bestFit="1" customWidth="1"/>
    <col min="51" max="51" width="3.26953125" style="3" customWidth="1"/>
    <col min="52" max="54" width="7.81640625" style="3" customWidth="1"/>
    <col min="55" max="55" width="3.26953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1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1</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0</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2</v>
      </c>
      <c r="AK7" s="485" t="str">
        <f>+IF(ISBLANK(INDEX(WORLDCUP!$AB$101:$AB$147,MATCH(AH7,WORLDCUP!$Z$101:$Z$147,0))),"","( "&amp;INDEX(WORLDCUP!$AB$101:$AB$147,MATCH(AH7,WORLDCUP!$Z$101:$Z$147,0))&amp;" )")</f>
        <v>( 4 )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1</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2</v>
      </c>
      <c r="AK8" s="495" t="str">
        <f>+IF(ISBLANK(INDEX(WORLDCUP!$AE$101:$AE$147,MATCH(AH8,WORLDCUP!$Z$101:$Z$147,0))),"","( "&amp;INDEX(WORLDCUP!$AE$101:$AE$147,MATCH(AH8,WORLDCUP!$Z$101:$Z$147,0))&amp;" )")</f>
        <v>( 3 )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3</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0</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( 5 )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Por</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Alemania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3</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Sen</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( 4 )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( 5 )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Alem</v>
      </c>
      <c r="AV25" s="538">
        <f>+IF(ISBLANK(INDEX(WORLDCUP!$AC$101:$AC$147,MATCH(AT25,WORLDCUP!$Z$101:$Z$147,0))),"",INDEX(WORLDCUP!$AC$101:$AC$147,MATCH(AT25,WORLDCUP!$Z$101:$Z$147,0)))</f>
        <v>1</v>
      </c>
      <c r="AW25" s="539" t="str">
        <f>+IF(ISBLANK(INDEX(WORLDCUP!$AB$101:$AB$147,MATCH(AT25,WORLDCUP!$Z$101:$Z$147,0))),"","( "&amp;INDEX(WORLDCUP!$AB$101:$AB$147,MATCH(AT25,WORLDCUP!$Z$101:$Z$147,0))&amp;" )")</f>
        <v>( 4 )</v>
      </c>
      <c r="AX25" s="540"/>
      <c r="AY25" s="527"/>
      <c r="AZ25" s="528" t="str">
        <f ca="1">+WORLDCUP!AA152</f>
        <v>Argentina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1</v>
      </c>
      <c r="AW26" s="433" t="str">
        <f>+IF(ISBLANK(INDEX(WORLDCUP!$AE$101:$AE$147,MATCH(AT26,WORLDCUP!$Z$101:$Z$147,0))),"","( "&amp;INDEX(WORLDCUP!$AE$101:$AE$147,MATCH(AT26,WORLDCUP!$Z$101:$Z$147,0))&amp;" )")</f>
        <v>( 3 )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3</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0</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3</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2</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( 4 )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( 2 )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4</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3</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( 5 )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( 3 )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26953125" style="16" bestFit="1" customWidth="1"/>
    <col min="5" max="6" width="10.81640625" style="16"/>
    <col min="7" max="7" width="17.26953125" style="16" bestFit="1" customWidth="1"/>
    <col min="8" max="8" width="13" style="16" customWidth="1"/>
    <col min="9" max="9" width="10.81640625" style="16"/>
    <col min="10" max="10" width="13" style="16" bestFit="1" customWidth="1"/>
    <col min="11" max="12" width="12.26953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4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49999999999999"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49999999999999"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49999999999999"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49999999999999"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49999999999999"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49999999999999"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c r="L88" s="3"/>
      <c r="M88" s="3"/>
      <c r="N88" s="3"/>
      <c r="O88" s="6"/>
      <c r="P88" s="6"/>
      <c r="Q88" s="6"/>
      <c r="R88" s="6"/>
      <c r="T88" s="16" t="s">
        <v>1478</v>
      </c>
      <c r="U88" s="9" t="s">
        <v>1463</v>
      </c>
      <c r="V88" s="9" t="s">
        <v>1464</v>
      </c>
      <c r="W88" s="9" t="s">
        <v>1465</v>
      </c>
      <c r="X88" s="584" t="e" vm="3">
        <v>#VALUE!</v>
      </c>
      <c r="Y88" s="9">
        <v>4</v>
      </c>
      <c r="Z88" s="6"/>
      <c r="AA88" s="6"/>
      <c r="AB88" s="6"/>
    </row>
    <row r="89" spans="12:28" ht="15.5">
      <c r="L89" s="3"/>
      <c r="M89" s="3"/>
      <c r="N89" s="3"/>
      <c r="O89" s="6"/>
      <c r="P89" s="6"/>
      <c r="Q89" s="6"/>
      <c r="R89" s="6"/>
      <c r="T89" s="16" t="s">
        <v>1479</v>
      </c>
      <c r="U89" s="9" t="s">
        <v>1466</v>
      </c>
      <c r="V89" s="9" t="s">
        <v>1466</v>
      </c>
      <c r="W89" s="585" t="s">
        <v>1468</v>
      </c>
      <c r="X89" s="584" t="e" vm="4">
        <v>#VALUE!</v>
      </c>
      <c r="Y89" s="9">
        <v>-4</v>
      </c>
      <c r="Z89" s="6"/>
      <c r="AA89" s="6"/>
      <c r="AB89" s="6"/>
    </row>
    <row r="90" spans="12:28" ht="15.5">
      <c r="L90" s="3"/>
      <c r="M90" s="3"/>
      <c r="N90" s="3"/>
      <c r="O90" s="6"/>
      <c r="P90" s="6"/>
      <c r="Q90" s="6"/>
      <c r="R90" s="6"/>
      <c r="T90" s="16" t="s">
        <v>1480</v>
      </c>
      <c r="U90" s="9" t="s">
        <v>1467</v>
      </c>
      <c r="V90" s="9" t="s">
        <v>1470</v>
      </c>
      <c r="W90" s="586" t="s">
        <v>1469</v>
      </c>
      <c r="X90" s="584" t="e" vm="5">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26953125" style="6" customWidth="1"/>
    <col min="6" max="6" width="15.26953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26953125" style="14" bestFit="1" customWidth="1"/>
    <col min="6" max="6" width="10.81640625" style="14"/>
    <col min="7" max="7" width="12.26953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26953125" style="14" bestFit="1" customWidth="1"/>
    <col min="21" max="21" width="10.453125" style="14" customWidth="1"/>
    <col min="22" max="22" width="10.26953125" style="14" customWidth="1"/>
    <col min="23" max="23" width="3.26953125" style="14" bestFit="1" customWidth="1"/>
    <col min="24" max="26" width="10.81640625" style="14"/>
    <col min="27" max="27" width="6.453125" style="14" customWidth="1"/>
    <col min="28" max="33" width="10.81640625" style="14"/>
    <col min="34" max="34" width="3.26953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ANDRES</cp:lastModifiedBy>
  <cp:lastPrinted>2018-12-06T18:06:35Z</cp:lastPrinted>
  <dcterms:created xsi:type="dcterms:W3CDTF">2015-10-31T09:41:54Z</dcterms:created>
  <dcterms:modified xsi:type="dcterms:W3CDTF">2026-06-28T18:03:10Z</dcterms:modified>
</cp:coreProperties>
</file>