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autoCompressPictures="0" defaultThemeVersion="124226"/>
  <mc:AlternateContent xmlns:mc="http://schemas.openxmlformats.org/markup-compatibility/2006">
    <mc:Choice Requires="x15">
      <x15ac:absPath xmlns:x15ac="http://schemas.microsoft.com/office/spreadsheetml/2010/11/ac" url="Z:\Z Lidia&amp;8pi\Desktop\Porra\"/>
    </mc:Choice>
  </mc:AlternateContent>
  <xr:revisionPtr revIDLastSave="0" documentId="8_{59CC92AD-5994-47EC-A483-A03B874C25A5}"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4240" windowHeight="130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76" i="3"/>
  <c r="Y116" i="3"/>
  <c r="X131" i="3"/>
  <c r="Y104" i="3"/>
  <c r="X24" i="3"/>
  <c r="X125" i="3"/>
  <c r="Y121" i="3"/>
  <c r="Y61" i="3"/>
  <c r="X38" i="3"/>
  <c r="X65" i="3"/>
  <c r="Y25" i="3"/>
  <c r="Y17" i="3"/>
  <c r="X48" i="3"/>
  <c r="X123" i="3"/>
  <c r="Y143" i="3"/>
  <c r="Y7" i="3"/>
  <c r="Y133" i="3"/>
  <c r="X122" i="3"/>
  <c r="Y113" i="3"/>
  <c r="Y56" i="3"/>
  <c r="Y9" i="3"/>
  <c r="X138" i="3"/>
  <c r="X47" i="3"/>
  <c r="X62" i="3"/>
  <c r="X106" i="3"/>
  <c r="Y21" i="3"/>
  <c r="X78" i="3"/>
  <c r="Y103" i="3"/>
  <c r="X101" i="3"/>
  <c r="Y28" i="3"/>
  <c r="Y110" i="3"/>
  <c r="Y94" i="3"/>
  <c r="Y16" i="3"/>
  <c r="X79" i="3"/>
  <c r="X44" i="3"/>
  <c r="X55" i="3"/>
  <c r="Y86" i="3"/>
  <c r="Y4" i="3"/>
  <c r="Y45" i="3"/>
  <c r="Y92" i="3"/>
  <c r="Y85" i="3"/>
  <c r="X13" i="3"/>
  <c r="Y6" i="3"/>
  <c r="X63" i="3"/>
  <c r="X64" i="3"/>
  <c r="Y120" i="3"/>
  <c r="X5" i="3"/>
  <c r="X20" i="3"/>
  <c r="Y23" i="3"/>
  <c r="Y139" i="3"/>
  <c r="Y127" i="3"/>
  <c r="Y114" i="3"/>
  <c r="Y41" i="3"/>
  <c r="X57" i="3"/>
  <c r="X134" i="3"/>
  <c r="X54" i="3"/>
  <c r="Y12" i="3"/>
  <c r="Y88" i="3"/>
  <c r="X93" i="3"/>
  <c r="Y84" i="3"/>
  <c r="X60" i="3"/>
  <c r="Y33" i="3"/>
  <c r="X69" i="3"/>
  <c r="X89" i="3" l="1"/>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E33" i="3"/>
  <c r="F70" i="3"/>
  <c r="F28" i="3"/>
  <c r="F24" i="3"/>
  <c r="E23" i="3"/>
  <c r="E20" i="3"/>
  <c r="E96" i="3"/>
  <c r="F93" i="3"/>
  <c r="E95" i="3"/>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BW28" i="3"/>
  <c r="E45" i="3"/>
  <c r="BW29" i="3" s="1"/>
  <c r="F92" i="3"/>
  <c r="F95" i="3"/>
  <c r="BW53" i="3" s="1"/>
  <c r="E97" i="3"/>
  <c r="BV52" i="3" s="1"/>
  <c r="F81" i="3"/>
  <c r="E76" i="3"/>
  <c r="E78" i="3"/>
  <c r="BW44" i="3" s="1"/>
  <c r="E48" i="3"/>
  <c r="F44" i="3"/>
  <c r="F47" i="3"/>
  <c r="E38" i="3"/>
  <c r="BW22" i="3"/>
  <c r="F41" i="3"/>
  <c r="E36" i="3"/>
  <c r="E39" i="3"/>
  <c r="F37" i="3"/>
  <c r="BU24" i="3" s="1"/>
  <c r="E41" i="3"/>
  <c r="BW34" i="3"/>
  <c r="E62" i="3"/>
  <c r="E60" i="3"/>
  <c r="BW35" i="3" s="1"/>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F77" i="3"/>
  <c r="BU44" i="3" s="1"/>
  <c r="F61" i="3"/>
  <c r="BW36" i="3" s="1"/>
  <c r="E65" i="3"/>
  <c r="E63" i="3"/>
  <c r="E9" i="3"/>
  <c r="F4" i="3"/>
  <c r="F6" i="3"/>
  <c r="F79" i="3"/>
  <c r="E80" i="3"/>
  <c r="BU43" i="3"/>
  <c r="F76" i="3"/>
  <c r="BW42" i="3" s="1"/>
  <c r="F80" i="3"/>
  <c r="E77" i="3"/>
  <c r="BW45" i="3" s="1"/>
  <c r="F78" i="3"/>
  <c r="E61" i="3"/>
  <c r="BW37" i="3" s="1"/>
  <c r="F62" i="3"/>
  <c r="BU36" i="3"/>
  <c r="F64" i="3"/>
  <c r="BU35" i="3" s="1"/>
  <c r="F72" i="3"/>
  <c r="BU41" i="3" s="1"/>
  <c r="E68" i="3"/>
  <c r="BW39" i="3" s="1"/>
  <c r="BW38" i="3"/>
  <c r="BU38" i="3"/>
  <c r="E70" i="3"/>
  <c r="BU51" i="3" l="1"/>
  <c r="BW52" i="3"/>
  <c r="BW50" i="3"/>
  <c r="BW43" i="3"/>
  <c r="BU42" i="3"/>
  <c r="BW41" i="3"/>
  <c r="BW40" i="3"/>
  <c r="BU34" i="3"/>
  <c r="BU30" i="3"/>
  <c r="BU37" i="3"/>
  <c r="BU26" i="3"/>
  <c r="BU27" i="3"/>
  <c r="BU22" i="3"/>
  <c r="BU25" i="3"/>
  <c r="BW23" i="3"/>
  <c r="BW24" i="3"/>
  <c r="BV50" i="3"/>
  <c r="BV51" i="3"/>
  <c r="BX51" i="3" s="1"/>
  <c r="BV53" i="3"/>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X53" i="3"/>
  <c r="BV9" i="3"/>
  <c r="BV8" i="3"/>
  <c r="BV6" i="3"/>
  <c r="BW49" i="3"/>
  <c r="BW31" i="3"/>
  <c r="BW47" i="3"/>
  <c r="BX32" i="3"/>
  <c r="BX30" i="3" l="1"/>
  <c r="BX22" i="3"/>
  <c r="BX25"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23" i="3"/>
  <c r="H20" i="3"/>
  <c r="H6" i="3" l="1"/>
  <c r="H21" i="3"/>
  <c r="I5" i="3"/>
  <c r="I20" i="3"/>
  <c r="H78" i="3"/>
  <c r="I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0" i="3" l="1"/>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CI36" i="3"/>
  <c r="N61" i="3"/>
  <c r="O64" i="3"/>
  <c r="N96" i="3"/>
  <c r="O97" i="3"/>
  <c r="O93" i="3"/>
  <c r="O44" i="3"/>
  <c r="N95" i="3"/>
  <c r="O95" i="3" l="1"/>
  <c r="CI42" i="3"/>
  <c r="O47" i="3"/>
  <c r="CI26" i="3"/>
  <c r="CI51" i="3"/>
  <c r="N29" i="3"/>
  <c r="CJ50" i="3"/>
  <c r="CI9" i="3"/>
  <c r="O55" i="3"/>
  <c r="O33" i="3"/>
  <c r="CJ19" i="3" s="1"/>
  <c r="N9" i="3"/>
  <c r="N36" i="3"/>
  <c r="O41" i="3"/>
  <c r="O4" i="3"/>
  <c r="O69" i="3"/>
  <c r="CK40" i="3" s="1"/>
  <c r="CI35" i="3"/>
  <c r="N72" i="3"/>
  <c r="CK21" i="3"/>
  <c r="O30" i="3"/>
  <c r="N32" i="3"/>
  <c r="CJ18" i="3" s="1"/>
  <c r="N7" i="3"/>
  <c r="O29" i="3"/>
  <c r="CI20" i="3" s="1"/>
  <c r="N49" i="3"/>
  <c r="N52" i="3"/>
  <c r="N54" i="3"/>
  <c r="CI44" i="3"/>
  <c r="N37" i="3"/>
  <c r="CI25" i="3" s="1"/>
  <c r="N8" i="3"/>
  <c r="CI6" i="3" s="1"/>
  <c r="CK22" i="3"/>
  <c r="O52" i="3"/>
  <c r="N97" i="3"/>
  <c r="O77" i="3"/>
  <c r="N80" i="3"/>
  <c r="N55" i="3"/>
  <c r="N81" i="3"/>
  <c r="N84" i="3"/>
  <c r="CI45" i="3"/>
  <c r="O5" i="3"/>
  <c r="N47" i="3"/>
  <c r="CI27" i="3" s="1"/>
  <c r="CK46" i="3"/>
  <c r="CI33" i="3"/>
  <c r="O53" i="3"/>
  <c r="O79" i="3"/>
  <c r="N6" i="3"/>
  <c r="N86" i="3"/>
  <c r="O32" i="3"/>
  <c r="CI21" i="3" s="1"/>
  <c r="CI12" i="3"/>
  <c r="CI43" i="3"/>
  <c r="N88" i="3"/>
  <c r="N30" i="3"/>
  <c r="CK20" i="3" s="1"/>
  <c r="CK6" i="3"/>
  <c r="CK18" i="3"/>
  <c r="CI18" i="3"/>
  <c r="CK25" i="3"/>
  <c r="N73" i="3"/>
  <c r="N15" i="3"/>
  <c r="CI11" i="3"/>
  <c r="O96" i="3"/>
  <c r="CJ53" i="3" s="1"/>
  <c r="CL53" i="3" s="1"/>
  <c r="CK34" i="3"/>
  <c r="CK8" i="3"/>
  <c r="CK30" i="3"/>
  <c r="N68" i="3"/>
  <c r="CK39" i="3" s="1"/>
  <c r="CK50" i="3"/>
  <c r="O40" i="3"/>
  <c r="O15" i="3"/>
  <c r="CI10" i="3" s="1"/>
  <c r="N65" i="3"/>
  <c r="O9" i="3"/>
  <c r="CI7" i="3" s="1"/>
  <c r="CI23" i="3"/>
  <c r="O36" i="3"/>
  <c r="CJ22" i="3" s="1"/>
  <c r="O61" i="3"/>
  <c r="CI8" i="3"/>
  <c r="CI47" i="3"/>
  <c r="CK37" i="3"/>
  <c r="N13" i="3"/>
  <c r="O68" i="3"/>
  <c r="O57" i="3"/>
  <c r="O65" i="3"/>
  <c r="N40" i="3"/>
  <c r="O31" i="3"/>
  <c r="CJ21" i="3" s="1"/>
  <c r="N92" i="3"/>
  <c r="CK51" i="3" s="1"/>
  <c r="CK12" i="3"/>
  <c r="N77" i="3"/>
  <c r="CK44" i="3"/>
  <c r="CI19" i="3"/>
  <c r="CI50" i="3"/>
  <c r="O25" i="3"/>
  <c r="O37" i="3"/>
  <c r="CI24" i="3" s="1"/>
  <c r="N5" i="3"/>
  <c r="CJ9" i="3" s="1"/>
  <c r="O72" i="3"/>
  <c r="CK41" i="3" s="1"/>
  <c r="CI38" i="3"/>
  <c r="O84" i="3"/>
  <c r="CI46" i="3" s="1"/>
  <c r="O87" i="3"/>
  <c r="N60" i="3"/>
  <c r="CK35" i="3" s="1"/>
  <c r="O78" i="3"/>
  <c r="O23" i="3"/>
  <c r="N94" i="3"/>
  <c r="CK52" i="3" s="1"/>
  <c r="N39" i="3"/>
  <c r="CK23" i="3" s="1"/>
  <c r="CK38" i="3"/>
  <c r="CI52" i="3"/>
  <c r="N4" i="3"/>
  <c r="CK7" i="3" s="1"/>
  <c r="CK19" i="3"/>
  <c r="N87" i="3"/>
  <c r="N25" i="3"/>
  <c r="O22" i="3"/>
  <c r="N76" i="3"/>
  <c r="CJ43" i="3" s="1"/>
  <c r="O49" i="3"/>
  <c r="CI29" i="3" s="1"/>
  <c r="N46" i="3"/>
  <c r="CJ28" i="3" s="1"/>
  <c r="N53" i="3"/>
  <c r="CK48" i="3"/>
  <c r="N85" i="3"/>
  <c r="N44" i="3"/>
  <c r="CK27" i="3" s="1"/>
  <c r="N12" i="3"/>
  <c r="O54" i="3"/>
  <c r="CI30" i="3" s="1"/>
  <c r="O89" i="3"/>
  <c r="CK47" i="3" s="1"/>
  <c r="O56" i="3"/>
  <c r="N24" i="3"/>
  <c r="O46" i="3"/>
  <c r="CI28" i="3"/>
  <c r="O21" i="3"/>
  <c r="CI16" i="3" s="1"/>
  <c r="N45" i="3"/>
  <c r="CK29" i="3" s="1"/>
  <c r="CK32" i="3"/>
  <c r="N16" i="3"/>
  <c r="CI48" i="3"/>
  <c r="CK26" i="3"/>
  <c r="CJ48" i="3"/>
  <c r="O20" i="3"/>
  <c r="CI14" i="3" s="1"/>
  <c r="N33" i="3"/>
  <c r="CK10" i="3"/>
  <c r="N69" i="3"/>
  <c r="O73" i="3"/>
  <c r="CI39" i="3" s="1"/>
  <c r="O60" i="3"/>
  <c r="CI34" i="3" s="1"/>
  <c r="O63" i="3"/>
  <c r="CI37" i="3" s="1"/>
  <c r="CI40" i="3"/>
  <c r="O70" i="3"/>
  <c r="CK17" i="3"/>
  <c r="N22" i="3"/>
  <c r="CK42" i="3"/>
  <c r="N78" i="3"/>
  <c r="O81" i="3"/>
  <c r="N14" i="3"/>
  <c r="CK11" i="3" s="1"/>
  <c r="CK13" i="3"/>
  <c r="N23" i="3"/>
  <c r="N20" i="3"/>
  <c r="CI15" i="3" s="1"/>
  <c r="O24" i="3"/>
  <c r="N17" i="3"/>
  <c r="O14" i="3"/>
  <c r="CI13" i="3" s="1"/>
  <c r="CK53" i="3"/>
  <c r="CK49" i="3"/>
  <c r="CK31" i="3"/>
  <c r="CK33" i="3" l="1"/>
  <c r="CI49" i="3"/>
  <c r="CK45" i="3"/>
  <c r="CK43" i="3"/>
  <c r="CI41" i="3"/>
  <c r="CJ36" i="3"/>
  <c r="CL36" i="3" s="1"/>
  <c r="CK36" i="3"/>
  <c r="CI31" i="3"/>
  <c r="CK28" i="3"/>
  <c r="CK24" i="3"/>
  <c r="CI22" i="3"/>
  <c r="CL22" i="3" s="1"/>
  <c r="CK16"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L31" i="3"/>
  <c r="CM46" i="3" s="1"/>
  <c r="CM45" i="3"/>
  <c r="CM50"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12" i="3"/>
  <c r="Q17" i="3"/>
  <c r="R14" i="3"/>
  <c r="R29" i="3"/>
  <c r="R86" i="3" l="1"/>
  <c r="Q41" i="3"/>
  <c r="R37" i="3"/>
  <c r="R89" i="3"/>
  <c r="R78" i="3"/>
  <c r="Q9" i="3"/>
  <c r="R6" i="3"/>
  <c r="R80" i="3"/>
  <c r="CP43" i="3" s="1"/>
  <c r="R40" i="3"/>
  <c r="Q60" i="3"/>
  <c r="Q62" i="3"/>
  <c r="R38" i="3"/>
  <c r="R56" i="3"/>
  <c r="R62" i="3"/>
  <c r="Q61" i="3"/>
  <c r="CP37" i="3" s="1"/>
  <c r="Q30" i="3"/>
  <c r="CP20" i="3" s="1"/>
  <c r="R53" i="3"/>
  <c r="R54" i="3"/>
  <c r="CP30" i="3" s="1"/>
  <c r="R28" i="3"/>
  <c r="R81" i="3"/>
  <c r="Q69" i="3"/>
  <c r="R87" i="3"/>
  <c r="Q55" i="3"/>
  <c r="R70" i="3"/>
  <c r="R84" i="3"/>
  <c r="Q96" i="3"/>
  <c r="Q72" i="3"/>
  <c r="R44" i="3"/>
  <c r="R49" i="3"/>
  <c r="Q46" i="3"/>
  <c r="R32" i="3"/>
  <c r="R69" i="3"/>
  <c r="R24" i="3"/>
  <c r="Q78" i="3"/>
  <c r="Q80" i="3"/>
  <c r="R31" i="3"/>
  <c r="Q23" i="3"/>
  <c r="Q16" i="3"/>
  <c r="CO10" i="3" s="1"/>
  <c r="Q12" i="3"/>
  <c r="Q93" i="3"/>
  <c r="R16" i="3"/>
  <c r="R79" i="3"/>
  <c r="Q63" i="3"/>
  <c r="CO35" i="3" s="1"/>
  <c r="Q21" i="3"/>
  <c r="Q38" i="3"/>
  <c r="R23" i="3"/>
  <c r="Q14" i="3"/>
  <c r="R96" i="3"/>
  <c r="R55" i="3"/>
  <c r="CP33" i="3" s="1"/>
  <c r="R41" i="3"/>
  <c r="R93" i="3"/>
  <c r="R7" i="3"/>
  <c r="R88" i="3"/>
  <c r="R85" i="3"/>
  <c r="Q68" i="3"/>
  <c r="CP39" i="3" s="1"/>
  <c r="R72" i="3"/>
  <c r="R95" i="3"/>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53" i="3"/>
  <c r="CO30" i="3"/>
  <c r="CP47" i="3"/>
  <c r="CO47" i="3"/>
  <c r="CO12" i="3"/>
  <c r="CP23" i="3"/>
  <c r="CP22" i="3" l="1"/>
  <c r="CP45" i="3"/>
  <c r="CO53" i="3"/>
  <c r="CO45" i="3"/>
  <c r="CO43" i="3"/>
  <c r="CQ43" i="3" s="1"/>
  <c r="CO22" i="3"/>
  <c r="CP49" i="3"/>
  <c r="CP35" i="3"/>
  <c r="CP34" i="3"/>
  <c r="CP48" i="3"/>
  <c r="CO24" i="3"/>
  <c r="CO37" i="3"/>
  <c r="CQ37" i="3" s="1"/>
  <c r="CP38" i="3"/>
  <c r="CP14" i="3"/>
  <c r="CP46" i="3"/>
  <c r="CO34" i="3"/>
  <c r="CO50" i="3"/>
  <c r="CQ50" i="3" s="1"/>
  <c r="CP40"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22"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T37" i="3"/>
  <c r="U57" i="3"/>
  <c r="T54" i="3"/>
  <c r="U37" i="3"/>
  <c r="CT24" i="3" s="1"/>
  <c r="T41" i="3"/>
  <c r="U33" i="3"/>
  <c r="U25" i="3"/>
  <c r="T21" i="3"/>
  <c r="U32" i="3"/>
  <c r="T84" i="3"/>
  <c r="T86" i="3"/>
  <c r="T29" i="3"/>
  <c r="T12" i="3"/>
  <c r="T61" i="3"/>
  <c r="CT37" i="3" s="1"/>
  <c r="T6" i="3"/>
  <c r="U64" i="3"/>
  <c r="U68" i="3"/>
  <c r="U7" i="3"/>
  <c r="T28" i="3"/>
  <c r="T8" i="3"/>
  <c r="U77" i="3"/>
  <c r="CT44" i="3" s="1"/>
  <c r="T36" i="3"/>
  <c r="CT23" i="3" s="1"/>
  <c r="U41" i="3"/>
  <c r="T69" i="3"/>
  <c r="U73" i="3"/>
  <c r="U15" i="3"/>
  <c r="T77" i="3"/>
  <c r="T81" i="3"/>
  <c r="U16" i="3"/>
  <c r="T24" i="3"/>
  <c r="T73" i="3"/>
  <c r="U95" i="3"/>
  <c r="T85" i="3"/>
  <c r="U86" i="3"/>
  <c r="T97" i="3"/>
  <c r="T32" i="3"/>
  <c r="CT17" i="3"/>
  <c r="U81" i="3"/>
  <c r="U78" i="3"/>
  <c r="T89" i="3"/>
  <c r="U87" i="3"/>
  <c r="CT49" i="3" s="1"/>
  <c r="T87" i="3"/>
  <c r="CT47" i="3" s="1"/>
  <c r="T88" i="3"/>
  <c r="T56" i="3"/>
  <c r="T53" i="3"/>
  <c r="CT33" i="3" s="1"/>
  <c r="U13" i="3"/>
  <c r="CT12" i="3" s="1"/>
  <c r="U49" i="3"/>
  <c r="T16" i="3"/>
  <c r="U52" i="3"/>
  <c r="T64" i="3"/>
  <c r="U14" i="3"/>
  <c r="U60" i="3"/>
  <c r="U54" i="3"/>
  <c r="T76" i="3"/>
  <c r="U12" i="3"/>
  <c r="T94" i="3"/>
  <c r="U28" i="3"/>
  <c r="T68" i="3"/>
  <c r="U21" i="3"/>
  <c r="CT38" i="3"/>
  <c r="U93" i="3"/>
  <c r="T33" i="3"/>
  <c r="U29" i="3"/>
  <c r="T20" i="3"/>
  <c r="T96" i="3"/>
  <c r="U72" i="3"/>
  <c r="U96" i="3"/>
  <c r="CT53" i="3" s="1"/>
  <c r="T44" i="3"/>
  <c r="T5" i="3"/>
  <c r="U39" i="3"/>
  <c r="T72" i="3"/>
  <c r="T57" i="3"/>
  <c r="U94" i="3"/>
  <c r="CT50" i="3" s="1"/>
  <c r="U36" i="3"/>
  <c r="T65" i="3"/>
  <c r="U61" i="3"/>
  <c r="U17" i="3"/>
  <c r="CT11" i="3" s="1"/>
  <c r="T23" i="3"/>
  <c r="U69" i="3"/>
  <c r="CT40" i="3" s="1"/>
  <c r="T55" i="3"/>
  <c r="U97" i="3"/>
  <c r="CT51" i="3" s="1"/>
  <c r="U6" i="3"/>
  <c r="T25" i="3"/>
  <c r="CT34" i="3"/>
  <c r="U79" i="3"/>
  <c r="T60" i="3"/>
  <c r="CT35" i="3" s="1"/>
  <c r="T4" i="3"/>
  <c r="CT7" i="3" s="1"/>
  <c r="T62" i="3"/>
  <c r="T7" i="3"/>
  <c r="U20" i="3"/>
  <c r="T48" i="3"/>
  <c r="CT28" i="3" s="1"/>
  <c r="U44" i="3"/>
  <c r="U76" i="3"/>
  <c r="CT43" i="3"/>
  <c r="U46" i="3"/>
  <c r="T45" i="3"/>
  <c r="T47" i="3"/>
  <c r="T9" i="3"/>
  <c r="T49" i="3"/>
  <c r="CT31" i="3"/>
  <c r="CT15" i="3"/>
  <c r="CT32" i="3" l="1"/>
  <c r="CT22" i="3"/>
  <c r="CT25" i="3"/>
  <c r="CT19"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9" i="3" l="1"/>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3" i="3"/>
  <c r="M127" i="3"/>
  <c r="AA127" i="3" s="1"/>
  <c r="D127" i="3" s="1"/>
  <c r="AG112" i="3"/>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D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M132" i="3" s="1"/>
  <c r="AA132" i="3" s="1"/>
  <c r="D132"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7" i="3"/>
  <c r="N134" i="3"/>
  <c r="AF134" i="3" s="1"/>
  <c r="AG122" i="3"/>
  <c r="M133" i="3"/>
  <c r="AA133" i="3" s="1"/>
  <c r="D133" i="3" s="1"/>
  <c r="M131" i="3"/>
  <c r="AA131" i="3" s="1"/>
  <c r="D131" i="3" s="1"/>
  <c r="AG121" i="3"/>
  <c r="N131" i="3"/>
  <c r="AF131" i="3" s="1"/>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C220" i="31"/>
  <c r="C214" i="31"/>
  <c r="B220" i="31"/>
  <c r="AI8" i="45"/>
  <c r="BT68" i="3" l="1"/>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BV61" i="3" l="1"/>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<sst xmlns="http://schemas.openxmlformats.org/spreadsheetml/2006/main" count="6764" uniqueCount="1520">
  <si>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</si>
  <si>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</si>
  <si>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</si>
  <si>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</si>
  <si>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</si>
  <si>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</si>
  <si>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</si>
  <si>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</si>
  <si>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</si>
  <si>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</si>
  <si>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</si>
  <si>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</si>
  <si>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</si>
  <si>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</si>
  <si>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</si>
  <si>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</si>
  <si>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</si>
  <si>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</si>
  <si>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</si>
  <si>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</si>
  <si>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</si>
  <si>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</si>
  <si>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</si>
  <si>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</si>
  <si>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</si>
  <si>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</si>
  <si>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</si>
  <si>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</si>
  <si>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</si>
  <si>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</si>
  <si>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</si>
  <si>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</si>
  <si>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</si>
  <si>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</si>
  <si>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</si>
  <si>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</si>
  <si>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</si>
  <si>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</si>
  <si>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</si>
  <si>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</si>
  <si>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</si>
  <si>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</si>
  <si>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</si>
  <si>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</si>
  <si>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</si>
  <si>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</si>
  <si>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</si>
  <si>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</si>
  <si>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</si>
  <si>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</si>
  <si>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</si>
  <si>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</si>
  <si>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</si>
  <si>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</si>
  <si>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</si>
  <si>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</si>
  <si>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</si>
  <si>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</si>
  <si>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</si>
  <si>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</si>
  <si>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</si>
  <si>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</si>
  <si>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</si>
  <si>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</si>
  <si>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</si>
  <si>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</si>
  <si>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</si>
  <si>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</si>
  <si>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</si>
  <si>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</si>
  <si>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</si>
  <si>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</si>
  <si>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</si>
  <si>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</si>
  <si>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</si>
  <si>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</si>
  <si>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</si>
  <si>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</si>
  <si>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</si>
  <si>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</si>
  <si>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</si>
  <si>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</si>
  <si>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</si>
  <si>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</si>
  <si>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</si>
  <si>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</si>
  <si>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</si>
  <si>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</si>
  <si>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</si>
  <si>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</si>
  <si>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</si>
  <si>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</si>
  <si>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</si>
  <si>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</si>
  <si>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</si>
  <si>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</si>
  <si>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</si>
  <si>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</si>
  <si>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</si>
  <si>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</si>
  <si>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</si>
  <si>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</si>
  <si>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</si>
  <si>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</si>
  <si>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</si>
  <si>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</si>
  <si>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</si>
  <si>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</si>
  <si>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</si>
  <si>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</si>
  <si>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</si>
  <si>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</si>
  <si>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</si>
  <si>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</si>
  <si>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</si>
  <si>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</si>
  <si>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</si>
  <si>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</si>
  <si>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</si>
  <si>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</si>
  <si>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</si>
  <si>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</si>
  <si>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</si>
  <si>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</si>
  <si>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</si>
  <si>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</si>
  <si>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</si>
  <si>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</si>
  <si>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</si>
  <si>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</si>
  <si>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</si>
  <si>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</si>
  <si>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</si>
  <si>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</si>
  <si>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</si>
  <si>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</si>
  <si>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</si>
  <si>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</si>
  <si>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</si>
  <si>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</si>
  <si>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</si>
  <si>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</si>
  <si>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</si>
  <si>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</si>
  <si>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</si>
  <si>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</si>
  <si>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</si>
  <si>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</si>
  <si>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</si>
  <si>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</si>
  <si>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</si>
  <si>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</si>
  <si>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</si>
  <si>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</si>
  <si>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</si>
  <si>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</si>
  <si>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</si>
  <si>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</si>
  <si>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</si>
  <si>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</si>
  <si>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</si>
  <si>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</si>
  <si>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</si>
  <si>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</si>
  <si>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</si>
  <si>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</si>
  <si>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</si>
  <si>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</si>
  <si>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</si>
  <si>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</si>
  <si>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</si>
  <si>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</si>
  <si>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</si>
  <si>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</si>
  <si>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</si>
  <si>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</si>
  <si>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</si>
  <si>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</si>
  <si>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</si>
  <si>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</si>
  <si>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</si>
  <si>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</si>
  <si>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</si>
  <si>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</si>
  <si>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</si>
  <si>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</si>
  <si>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</si>
  <si>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</si>
  <si>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</si>
  <si>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</si>
  <si>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</si>
  <si>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</si>
  <si>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</si>
  <si>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</si>
  <si>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</si>
  <si>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</si>
  <si>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</si>
  <si>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</si>
  <si>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</si>
  <si>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</si>
  <si>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</si>
  <si>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</si>
  <si>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</si>
  <si>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</si>
  <si>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</si>
  <si>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</si>
  <si>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</si>
  <si>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</si>
  <si>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</si>
  <si>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</si>
  <si>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</si>
  <si>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</si>
  <si>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</si>
  <si>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</si>
  <si>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</si>
  <si>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</si>
  <si>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</si>
  <si>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</si>
  <si>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</si>
  <si>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</si>
  <si>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</si>
  <si>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</si>
  <si>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</si>
  <si>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</si>
  <si>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</si>
  <si>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</si>
  <si>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</si>
  <si>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</si>
  <si>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</si>
  <si>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</si>
  <si>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</si>
  <si>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</si>
  <si>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</si>
  <si>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</si>
  <si>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</si>
  <si>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</si>
  <si>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</si>
  <si>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</si>
  <si>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</si>
  <si>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</si>
  <si>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</si>
  <si>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</si>
  <si>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</si>
  <si>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</si>
  <si>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</si>
  <si>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</si>
  <si>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</si>
  <si>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</si>
  <si>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</si>
  <si>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</si>
  <si>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</si>
  <si>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</si>
  <si>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</si>
  <si>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</si>
  <si>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</si>
  <si>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</si>
  <si>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</si>
  <si>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</si>
  <si>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</si>
  <si>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</si>
  <si>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</si>
  <si>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</si>
  <si>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</si>
  <si>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</si>
  <si>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</si>
  <si>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</si>
  <si>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</si>
  <si>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</si>
  <si>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</si>
  <si>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</si>
  <si>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</si>
  <si>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</si>
  <si>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</si>
  <si>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</si>
  <si>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</si>
  <si>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</si>
  <si>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</si>
  <si>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</si>
  <si>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</si>
  <si>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</si>
  <si>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</si>
  <si>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</si>
  <si>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</si>
  <si>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</si>
  <si>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</si>
  <si>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</si>
  <si>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</si>
  <si>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</si>
  <si>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</si>
  <si>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</si>
  <si>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</si>
  <si>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</si>
  <si>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</si>
  <si>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</si>
  <si>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</si>
  <si>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</si>
  <si>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</si>
  <si>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</si>
  <si>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</si>
  <si>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</si>
  <si>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</si>
  <si>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</si>
  <si>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</si>
  <si>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</si>
  <si>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</si>
  <si>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</si>
  <si>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</si>
  <si>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</si>
  <si>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</si>
  <si>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</si>
  <si>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</si>
  <si>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</si>
  <si>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</si>
  <si>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</si>
  <si>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</si>
  <si>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</si>
  <si>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</si>
  <si>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</si>
  <si>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</si>
  <si>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</si>
  <si>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</si>
  <si>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</si>
  <si>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</si>
  <si>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</si>
  <si>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</si>
  <si>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</si>
  <si>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</si>
  <si>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</si>
  <si>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</si>
  <si>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</si>
  <si>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</si>
  <si>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</si>
  <si>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</si>
  <si>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</si>
  <si>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</si>
  <si>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</si>
  <si>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</si>
  <si>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</si>
  <si>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</si>
  <si>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</si>
  <si>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</si>
  <si>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</si>
  <si>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</si>
  <si>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</si>
  <si>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</si>
  <si>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</si>
  <si>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</si>
  <si>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</si>
  <si>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</si>
  <si>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</si>
  <si>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</si>
  <si>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</si>
  <si>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</si>
  <si>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</si>
  <si>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</si>
  <si>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</si>
  <si>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</si>
  <si>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</si>
  <si>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</si>
  <si>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</si>
  <si>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</si>
  <si>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</si>
  <si>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</si>
  <si>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</si>
  <si>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</si>
  <si>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</si>
  <si>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</si>
  <si>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</si>
  <si>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</si>
  <si>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</si>
  <si>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</si>
  <si>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</si>
  <si>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</si>
  <si>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</si>
  <si>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</si>
  <si>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</si>
  <si>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</si>
  <si>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</si>
  <si>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</si>
  <si>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</si>
  <si>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</si>
  <si>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</si>
  <si>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</si>
  <si>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</si>
  <si>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</si>
  <si>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</si>
  <si>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</si>
  <si>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</si>
  <si>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</si>
  <si>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</si>
  <si>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</si>
  <si>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</si>
  <si>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</si>
  <si>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</si>
  <si>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</si>
  <si>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</si>
  <si>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</si>
  <si>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</si>
  <si>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</si>
  <si>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</si>
  <si>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</si>
  <si>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</si>
  <si>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</si>
  <si>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</si>
  <si>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</si>
  <si>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</si>
  <si>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</si>
  <si>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</si>
  <si>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</si>
  <si>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</si>
  <si>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</si>
  <si>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</si>
  <si>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</si>
  <si>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</si>
  <si>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</si>
  <si>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</si>
  <si>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</si>
  <si>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</si>
  <si>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</si>
  <si>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</si>
  <si>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</si>
  <si>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</si>
  <si>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</si>
  <si>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</si>
  <si>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</si>
  <si>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</si>
  <si>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</si>
  <si>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</si>
  <si>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</si>
  <si>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</si>
  <si>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</si>
  <si>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</si>
  <si>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</si>
  <si>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</si>
  <si>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</si>
  <si>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</si>
  <si>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</si>
  <si>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</si>
  <si>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</si>
  <si>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</si>
  <si>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</si>
  <si>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</si>
  <si>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</si>
  <si>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</si>
  <si>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</si>
  <si>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</si>
  <si>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</si>
  <si>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</si>
  <si>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</si>
  <si>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</si>
  <si>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</si>
  <si>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</si>
  <si>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</si>
  <si>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</si>
  <si>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</si>
  <si>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</si>
  <si>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</si>
  <si>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</si>
  <si>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</si>
  <si>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</si>
  <si>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</si>
  <si>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</si>
  <si>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</si>
  <si>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</si>
  <si>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</si>
  <si>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</si>
  <si>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</si>
  <si>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</si>
  <si>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</si>
  <si>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</si>
  <si>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</si>
  <si>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</si>
  <si>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</si>
  <si>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</si>
  <si>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</si>
  <si>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</si>
  <si>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</si>
  <si>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</si>
  <si>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</si>
  <si>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</si>
  <si>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</si>
  <si>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</si>
  <si>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</si>
  <si>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</si>
  <si>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</si>
  <si>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</si>
  <si>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</si>
  <si>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</si>
  <si>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</si>
  <si>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</si>
  <si>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</si>
  <si>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</si>
  <si>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</si>
  <si>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</si>
  <si>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</si>
  <si>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</si>
  <si>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</si>
  <si>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</si>
  <si>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</si>
  <si>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</si>
  <si>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</si>
  <si>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</si>
  <si>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</si>
  <si>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</si>
  <si>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</si>
  <si>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</si>
  <si>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</si>
  <si>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</si>
  <si>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</si>
  <si>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</si>
  <si>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</si>
  <si>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</si>
  <si>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</si>
  <si>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</si>
  <si>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</si>
  <si>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</si>
  <si>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</si>
  <si>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</si>
  <si>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</si>
  <si>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</si>
  <si>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</si>
  <si>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</si>
  <si>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</si>
  <si>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</si>
  <si>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</si>
  <si>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</si>
  <si>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</si>
  <si>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</si>
  <si>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</si>
  <si>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</si>
  <si>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</si>
  <si>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</si>
  <si>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</si>
  <si>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</si>
  <si>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</si>
  <si>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</si>
  <si>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</si>
  <si>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</si>
  <si>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</si>
  <si>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</si>
  <si>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</si>
  <si>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</si>
  <si>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</si>
  <si>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</si>
  <si>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</si>
  <si>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</si>
  <si>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</si>
  <si>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</si>
  <si>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</si>
  <si>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</si>
  <si>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</si>
  <si>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</si>
  <si>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</si>
  <si>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</si>
  <si>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</si>
  <si>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</si>
  <si>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</si>
  <si>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</si>
  <si>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</si>
  <si>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</si>
  <si>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</si>
  <si>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</si>
  <si>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</si>
  <si>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</si>
  <si>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</si>
  <si>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</si>
  <si>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</si>
  <si>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</si>
  <si>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</si>
  <si>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</si>
  <si>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</si>
  <si>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</si>
  <si>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</si>
  <si>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</si>
  <si>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</si>
  <si>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</si>
  <si>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</si>
  <si>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</si>
  <si>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</si>
  <si>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</si>
  <si>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</si>
  <si>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</si>
  <si>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</si>
  <si>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</si>
  <si>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</si>
  <si>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</si>
  <si>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</si>
  <si>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</si>
  <si>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</si>
  <si>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</si>
  <si>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</si>
  <si>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</si>
  <si>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</si>
  <si>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</si>
  <si>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</si>
  <si>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</si>
  <si>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</si>
  <si>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</si>
  <si>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</si>
  <si>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</si>
  <si>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</si>
  <si>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</si>
  <si>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</si>
  <si>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</si>
  <si>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</si>
  <si>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</si>
  <si>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</si>
  <si>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</si>
  <si>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</si>
  <si>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</si>
  <si>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</si>
  <si>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</si>
  <si>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</si>
  <si>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</si>
  <si>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</si>
  <si>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</si>
  <si>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</si>
  <si>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</si>
  <si>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</si>
  <si>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</si>
  <si>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</si>
  <si>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</si>
  <si>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</si>
  <si>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</si>
  <si>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</si>
  <si>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</si>
  <si>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</si>
  <si>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</si>
  <si>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</si>
  <si>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</si>
  <si>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</si>
  <si>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</si>
  <si>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</si>
  <si>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</si>
  <si>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</si>
  <si>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</si>
  <si>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</si>
  <si>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</si>
  <si>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</si>
  <si>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</si>
  <si>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</si>
  <si>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</si>
  <si>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</si>
  <si>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</si>
  <si>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</si>
  <si>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</si>
  <si>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</si>
  <si>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</si>
  <si>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</si>
  <si>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</si>
  <si>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</si>
  <si>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</si>
  <si>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</si>
  <si>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</si>
  <si>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</si>
  <si>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</si>
  <si>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</si>
  <si>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</si>
  <si>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</si>
  <si>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</si>
  <si>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</si>
  <si>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</si>
  <si>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</si>
  <si>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</si>
  <si>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</si>
  <si>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</si>
  <si>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</si>
  <si>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</si>
  <si>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</si>
  <si>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</si>
  <si>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</si>
  <si>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</si>
  <si>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</si>
  <si>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</si>
  <si>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</si>
  <si>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</si>
  <si>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</si>
  <si>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</si>
  <si>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</si>
  <si>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</si>
  <si>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</si>
  <si>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</si>
  <si>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</si>
  <si>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</si>
  <si>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</si>
  <si>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</si>
  <si>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</si>
  <si>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</si>
  <si>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</si>
  <si>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</si>
  <si>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</si>
  <si>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</si>
  <si>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</si>
  <si>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</si>
  <si>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</si>
  <si>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</si>
  <si>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</si>
  <si>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</si>
  <si>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</si>
  <si>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</si>
  <si>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</si>
  <si>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</si>
  <si>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</si>
  <si>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</si>
  <si>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</si>
  <si>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</si>
  <si>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</si>
  <si>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</si>
  <si>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</si>
  <si>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</si>
  <si>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</si>
  <si>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</si>
  <si>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</si>
  <si>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</si>
  <si>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</si>
  <si>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</si>
  <si>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</si>
  <si>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</si>
  <si>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</si>
  <si>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</si>
  <si>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</si>
  <si>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</si>
  <si>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</si>
  <si>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</si>
  <si>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</si>
  <si>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</si>
  <si>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</si>
  <si>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</si>
  <si>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</si>
  <si>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</si>
  <si>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</si>
  <si>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</si>
  <si>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</si>
  <si>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</si>
  <si>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</si>
  <si>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</si>
  <si>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</si>
  <si>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</si>
  <si>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</si>
  <si>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</si>
  <si>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</si>
  <si>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</si>
  <si>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</si>
  <si>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</si>
  <si>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</si>
  <si>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</si>
  <si>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</si>
  <si>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</si>
  <si>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</si>
  <si>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</si>
  <si>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</si>
  <si>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</si>
  <si>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</si>
  <si>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</si>
  <si>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</si>
  <si>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</si>
  <si>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</si>
  <si>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</si>
  <si>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</si>
  <si>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</si>
  <si>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</si>
  <si>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</si>
  <si>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</si>
  <si>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</si>
  <si>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</si>
  <si>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</si>
  <si>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</si>
  <si>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</si>
  <si>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</si>
  <si>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</si>
  <si>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</si>
  <si>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</si>
  <si>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</si>
  <si>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</si>
  <si>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</si>
  <si>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</si>
  <si>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</si>
  <si>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</si>
  <si>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</si>
  <si>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</si>
  <si>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</si>
  <si>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</si>
  <si>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</si>
  <si>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</si>
  <si>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</si>
  <si>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</si>
  <si>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</si>
  <si>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</si>
  <si>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</si>
  <si>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</si>
  <si>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</si>
  <si>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</si>
  <si>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</si>
  <si>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</si>
  <si>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</si>
  <si>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</si>
  <si>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</si>
  <si>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</si>
  <si>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</si>
  <si>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</si>
  <si>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</si>
  <si>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</si>
  <si>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</si>
  <si>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</si>
  <si>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</si>
  <si>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</si>
  <si>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</si>
  <si>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</si>
  <si>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</si>
  <si>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</si>
  <si>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</si>
  <si>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</si>
  <si>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</si>
  <si>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</si>
  <si>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</si>
  <si>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</si>
  <si>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</si>
  <si>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</si>
  <si>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</si>
  <si>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</si>
  <si>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</si>
  <si>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</si>
  <si>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</si>
  <si>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</si>
  <si>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</si>
  <si>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</si>
  <si>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</si>
  <si>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</si>
  <si>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</si>
  <si>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</si>
  <si>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</si>
  <si>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</si>
  <si>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</si>
  <si>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</si>
  <si>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</si>
  <si>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</si>
  <si>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</si>
  <si>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</si>
  <si>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</si>
  <si>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</si>
  <si>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</si>
  <si>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</si>
  <si>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</si>
  <si>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</si>
  <si>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</si>
  <si>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</si>
  <si>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</si>
  <si>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</si>
  <si>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</si>
  <si>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</si>
  <si>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</si>
  <si>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</si>
  <si>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</si>
  <si>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</si>
  <si>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</si>
  <si>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</si>
  <si>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</si>
  <si>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</si>
  <si>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</si>
  <si>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</si>
  <si>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</si>
  <si>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</si>
  <si>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</si>
  <si>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</si>
  <si>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</si>
  <si>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</si>
  <si>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</si>
  <si>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</si>
  <si>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</si>
  <si>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</si>
  <si>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</si>
  <si>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</si>
  <si>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</si>
  <si>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</si>
  <si>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</si>
  <si>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</si>
  <si>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</si>
  <si>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</si>
  <si>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</si>
  <si>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</si>
  <si>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</si>
  <si>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</si>
  <si>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</si>
  <si>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</si>
  <si>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</si>
  <si>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</si>
  <si>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</si>
  <si>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</si>
  <si>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</si>
  <si>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</si>
  <si>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</si>
  <si>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</si>
  <si>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</si>
  <si>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</si>
  <si>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</si>
  <si>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</si>
  <si>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</si>
  <si>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</si>
  <si>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</si>
  <si>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</si>
  <si>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</si>
  <si>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</si>
  <si>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</si>
  <si>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</si>
  <si>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</si>
  <si>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</si>
  <si>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</si>
  <si>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</si>
  <si>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</si>
  <si>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</si>
  <si>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</si>
  <si>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</si>
  <si>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</si>
  <si>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</si>
  <si>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</si>
  <si>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</si>
  <si>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</si>
  <si>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</si>
  <si>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</si>
  <si>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</si>
  <si>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</si>
  <si>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</si>
  <si>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</si>
  <si>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</si>
  <si>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</si>
  <si>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</si>
  <si>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</si>
  <si>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</si>
  <si>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</si>
  <si>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</si>
  <si>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</si>
  <si>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</si>
  <si>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</si>
  <si>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</si>
  <si>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</si>
  <si>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</si>
  <si>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</si>
  <si>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</si>
  <si>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</si>
  <si>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</si>
  <si>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</si>
  <si>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</si>
  <si>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</si>
  <si>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</si>
  <si>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</si>
  <si>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</si>
  <si>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</si>
  <si>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</si>
  <si>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</si>
  <si>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</si>
  <si>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</si>
  <si>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</si>
  <si>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</si>
  <si>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</si>
  <si>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</si>
  <si>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</si>
  <si>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</si>
  <si>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</si>
  <si>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</si>
  <si>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</si>
  <si>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</si>
  <si>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</si>
  <si>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</si>
  <si>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</si>
  <si>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</si>
  <si>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</si>
  <si>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</si>
  <si>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</si>
  <si>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</si>
  <si>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</si>
  <si>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</si>
  <si>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</si>
  <si>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</si>
  <si>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</si>
  <si>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</si>
  <si>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</si>
  <si>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</si>
  <si>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</si>
  <si>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</si>
  <si>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</si>
  <si>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</si>
  <si>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</si>
  <si>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</si>
  <si>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</si>
  <si>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</si>
  <si>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</si>
  <si>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</si>
  <si>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</si>
  <si>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</si>
  <si>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</si>
  <si>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</si>
  <si>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</si>
  <si>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</si>
  <si>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</si>
  <si>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</si>
  <si>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</si>
  <si>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</si>
  <si>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</si>
  <si>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</si>
  <si>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</si>
  <si>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</si>
  <si>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</si>
  <si>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</si>
  <si>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</si>
  <si>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</si>
  <si>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</si>
  <si>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</si>
  <si>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</si>
  <si>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</si>
  <si>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</si>
  <si>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</si>
  <si>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</si>
  <si>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</si>
  <si>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</si>
  <si>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</si>
  <si>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</si>
  <si>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</si>
  <si>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</si>
  <si>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</si>
  <si>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</si>
  <si>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</si>
  <si>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</si>
  <si>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</si>
  <si>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</si>
  <si>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</si>
  <si>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</si>
  <si>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</si>
  <si>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</si>
  <si>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</si>
  <si>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</si>
  <si>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</si>
  <si>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</si>
  <si>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</si>
  <si>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</si>
  <si>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</si>
  <si>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</si>
  <si>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</si>
  <si>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</si>
  <si>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</si>
  <si>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</si>
  <si>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</si>
  <si>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</si>
  <si>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</si>
  <si>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</si>
  <si>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</si>
  <si>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</si>
  <si>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</si>
  <si>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</si>
  <si>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</si>
  <si>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</si>
  <si>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</si>
  <si>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</si>
  <si>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</si>
  <si>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</si>
  <si>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</si>
  <si>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</si>
  <si>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</si>
  <si>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</si>
  <si>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</si>
  <si>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</si>
  <si>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</si>
  <si>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</si>
  <si>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</si>
  <si>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</si>
  <si>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</si>
  <si>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</si>
  <si>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</si>
  <si>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</si>
  <si>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</si>
  <si>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</si>
  <si>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</si>
  <si>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</si>
  <si>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</si>
  <si>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</si>
  <si>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</si>
  <si>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</si>
  <si>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</si>
  <si>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</si>
  <si>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</si>
  <si>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</si>
  <si>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</si>
  <si>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</si>
  <si>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</si>
  <si>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</si>
  <si>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</si>
  <si>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</si>
  <si>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</si>
  <si>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</si>
  <si>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</si>
  <si>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</si>
  <si>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</si>
  <si>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</si>
  <si>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</si>
  <si>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</si>
  <si>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</si>
  <si>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</si>
  <si>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</si>
  <si>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</si>
  <si>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</si>
  <si>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</si>
  <si>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</si>
  <si>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</si>
  <si>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</si>
  <si>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</si>
  <si>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</si>
  <si>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</si>
  <si>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</si>
  <si>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</si>
  <si>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</si>
  <si>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</si>
  <si>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</si>
  <si>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</si>
  <si>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</si>
  <si>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</si>
  <si>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</si>
  <si>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</si>
  <si>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</si>
  <si>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</si>
  <si>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</si>
  <si>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</si>
  <si>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</si>
  <si>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</si>
  <si>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</si>
  <si>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</si>
  <si>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</si>
  <si>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</si>
  <si>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</si>
  <si>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</si>
  <si>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</si>
  <si>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</si>
  <si>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</si>
  <si>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</si>
  <si>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</si>
  <si>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</si>
  <si>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</si>
  <si>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</si>
  <si>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</si>
  <si>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</si>
  <si>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</si>
  <si>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</si>
  <si>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</si>
  <si>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</si>
  <si>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</si>
  <si>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</si>
  <si>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</si>
  <si>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</si>
  <si>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</si>
  <si>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</si>
  <si>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</si>
  <si>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</si>
  <si>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</si>
  <si>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</si>
  <si>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</si>
  <si>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</si>
  <si>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</si>
  <si>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</si>
  <si>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</si>
  <si>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</si>
  <si>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</si>
  <si>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</si>
  <si>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</si>
  <si>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</si>
  <si>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</si>
  <si>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</si>
  <si>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</si>
  <si>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</si>
  <si>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</si>
  <si>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</si>
  <si>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</si>
  <si>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</si>
  <si>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</si>
  <si>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</si>
  <si>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</si>
  <si>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</si>
  <si>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</si>
  <si>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</si>
  <si>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</si>
  <si>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</si>
  <si>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</si>
  <si>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</si>
  <si>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</si>
  <si>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</si>
  <si>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</si>
  <si>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</si>
  <si>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</si>
  <si>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</si>
  <si>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</si>
  <si>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</si>
  <si>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</si>
  <si>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</si>
  <si>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</si>
  <si>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</si>
  <si>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</si>
  <si>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</si>
  <si>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</si>
  <si>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</si>
  <si>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</si>
  <si>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</si>
  <si>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</si>
  <si>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</si>
  <si>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</si>
  <si>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</si>
  <si>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</si>
  <si>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</si>
  <si>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</si>
  <si>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</si>
  <si>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</si>
  <si>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</si>
  <si>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</si>
  <si>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</si>
  <si>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</si>
  <si>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</si>
  <si>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</si>
  <si>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</si>
  <si>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</si>
  <si>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</si>
  <si>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</si>
  <si>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</si>
  <si>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</si>
  <si>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</si>
  <si>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</si>
  <si>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</si>
  <si>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</si>
  <si>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</si>
  <si>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</si>
  <si>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</si>
  <si>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</si>
  <si>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</si>
  <si>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</si>
  <si>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</si>
  <si>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</si>
  <si>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</si>
  <si>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</si>
  <si>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</si>
  <si>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</si>
  <si>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</si>
  <si>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</si>
  <si>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</si>
  <si>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</si>
  <si>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</si>
  <si>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</si>
  <si>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</si>
  <si>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</si>
  <si>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</si>
  <si>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</si>
  <si>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</si>
  <si>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</si>
  <si>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</si>
  <si>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</si>
  <si>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</si>
  <si>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</si>
  <si>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</si>
  <si>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</si>
  <si>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</si>
  <si>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</si>
  <si>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</si>
  <si>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</si>
  <si>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</si>
  <si>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</si>
  <si>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</si>
  <si>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</si>
  <si>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</si>
  <si>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</si>
  <si>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</si>
  <si>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</si>
  <si>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</si>
  <si>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</si>
  <si>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</si>
  <si>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</si>
  <si>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</si>
  <si>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</si>
  <si>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</si>
  <si>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</si>
  <si>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</si>
  <si>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</si>
  <si>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</si>
  <si>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</si>
  <si>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</si>
  <si>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</si>
  <si>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</si>
  <si>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</si>
  <si>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</si>
  <si>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</si>
  <si>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</si>
  <si>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</si>
  <si>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</si>
  <si>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</si>
  <si>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</si>
  <si>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</si>
  <si>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</si>
  <si>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</si>
  <si>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</si>
  <si>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</si>
  <si>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</si>
  <si>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</si>
  <si>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</si>
  <si>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</si>
  <si>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</si>
  <si>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</si>
  <si>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</si>
  <si>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</si>
  <si>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</si>
  <si>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</si>
  <si>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</si>
  <si>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</si>
  <si>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</si>
  <si>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</si>
  <si>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</si>
  <si>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</si>
  <si>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</si>
  <si>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</si>
  <si>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</si>
  <si>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</si>
  <si>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</si>
  <si>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</si>
  <si>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</si>
  <si>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</si>
  <si>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</si>
  <si>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</si>
  <si>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</si>
  <si>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</si>
  <si>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</si>
  <si>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</si>
  <si>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</si>
  <si>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</si>
  <si>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</si>
  <si>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</si>
  <si>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</si>
  <si>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</si>
  <si>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</si>
  <si>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</si>
  <si>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</si>
  <si>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</si>
  <si>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</si>
  <si>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</si>
  <si>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</si>
  <si>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</si>
  <si>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</si>
  <si>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</si>
  <si>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</si>
  <si>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</si>
  <si>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</si>
  <si>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</si>
  <si>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</si>
  <si>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</si>
  <si>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</si>
  <si>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</si>
  <si>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</si>
  <si>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</si>
  <si>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</si>
  <si>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</si>
  <si>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</si>
  <si>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</si>
  <si>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</si>
  <si>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</si>
  <si>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</si>
  <si>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</si>
  <si>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</si>
  <si>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</si>
  <si>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</si>
  <si>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</si>
  <si>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</si>
  <si>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</si>
  <si>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</si>
  <si>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</si>
  <si>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</si>
  <si>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</si>
  <si>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</si>
  <si>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</si>
  <si>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</si>
  <si>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</si>
  <si>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</si>
  <si>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</si>
  <si>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</si>
  <si>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</si>
  <si>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</si>
  <si>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</si>
  <si>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</si>
  <si>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</si>
  <si>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</si>
  <si>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</si>
  <si>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</si>
  <si>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</si>
  <si>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</si>
  <si>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</si>
  <si>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</si>
  <si>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</si>
  <si>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</si>
  <si>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</si>
  <si>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</si>
  <si>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</si>
  <si>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</si>
  <si>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</si>
  <si>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</si>
  <si>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</si>
  <si>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</si>
  <si>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</si>
  <si>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</si>
  <si>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</si>
  <si>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</si>
  <si>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</si>
  <si>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</si>
  <si>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</si>
  <si>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</si>
  <si>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</si>
  <si>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</si>
  <si>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</si>
  <si>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</si>
  <si>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</si>
  <si>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</si>
  <si>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</si>
  <si>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</si>
  <si>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</si>
  <si>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</si>
  <si>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</si>
  <si>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</si>
  <si>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</si>
  <si>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</si>
  <si>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</si>
  <si>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</si>
  <si>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</si>
  <si>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</si>
  <si>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</si>
  <si>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</si>
  <si>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</si>
  <si>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</si>
  <si>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</si>
  <si>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</si>
  <si>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</si>
  <si>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</si>
  <si>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</si>
  <si>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</si>
  <si>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</si>
  <si>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</si>
  <si>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</si>
  <si>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</si>
  <si>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</si>
  <si>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</si>
  <si>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</si>
  <si>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</si>
  <si>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</si>
  <si>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</si>
  <si>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</si>
  <si>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</si>
  <si>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</si>
  <si>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</si>
  <si>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</si>
  <si>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</si>
  <si>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</si>
  <si>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</si>
  <si>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</si>
  <si>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</si>
  <si>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</si>
  <si>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</si>
  <si>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</si>
  <si>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</si>
  <si>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</si>
  <si>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</si>
  <si>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</si>
  <si>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</si>
  <si>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</si>
  <si>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</si>
  <si>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</si>
  <si>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</si>
  <si>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</si>
  <si>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</si>
  <si>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</si>
  <si>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</si>
  <si>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</si>
  <si>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</si>
  <si>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</si>
  <si>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</si>
  <si>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</si>
  <si>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</si>
  <si>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</si>
  <si>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</si>
  <si>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</si>
  <si>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</si>
  <si>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</si>
  <si>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</si>
  <si>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</si>
  <si>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</si>
  <si>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</si>
  <si>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</si>
  <si>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</si>
  <si>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</si>
  <si>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</si>
  <si>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</si>
  <si>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</si>
  <si>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</si>
  <si>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</si>
  <si>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</si>
  <si>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</si>
  <si>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</si>
  <si>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</si>
  <si>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</si>
  <si>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</si>
  <si>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</si>
  <si>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</si>
  <si>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</si>
  <si>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</si>
  <si>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</si>
  <si>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</si>
  <si>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</si>
  <si>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</si>
  <si>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</si>
  <si>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</si>
  <si>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</si>
  <si>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</si>
  <si>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</si>
  <si>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</si>
  <si>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</si>
  <si>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</si>
  <si>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</si>
  <si>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</si>
  <si>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</si>
  <si>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</si>
  <si>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Pedri</t>
  </si>
  <si>
    <t>Julián Álvarez</t>
  </si>
  <si>
    <t>nadie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</si>
</sst>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1">
    <v>0</v>
    <v>8</v>
    <v>1</v>
    <v>1</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98" zoomScaleNormal="100" workbookViewId="0">
      <selection activeCell="AA160" sqref="AA160"/>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46184.625</v>
      </c>
      <c r="Y4" s="25">
        <f ca="1">Horarios!C4</f>
        <v>46184.625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46184.916666666664</v>
      </c>
      <c r="Y5" s="25">
        <f ca="1">Horarios!C5</f>
        <v>46184.916666666664</v>
      </c>
      <c r="Z5" s="26" t="str">
        <f>$Z$4</f>
        <v>J1</v>
      </c>
      <c r="AA5" s="27" t="str">
        <f ca="1">A7</f>
        <v>Corea del Sur</v>
      </c>
      <c r="AB5" s="49" t="e" cm="1" vm="3">
        <f t="array" aca="1" ref="AB5" ca="1">Ver_flag_local</f>
        <v>#VALUE!</v>
      </c>
      <c r="AC5" s="50">
        <v>0</v>
      </c>
      <c r="AD5" s="51">
        <v>0</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46191.5</v>
      </c>
      <c r="Y6" s="25">
        <f ca="1">Horarios!C6</f>
        <v>46191.5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1</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46191.875</v>
      </c>
      <c r="Y7" s="25">
        <f ca="1">Horarios!C7</f>
        <v>46191.875</v>
      </c>
      <c r="Z7" s="26" t="str">
        <f>$Z$6</f>
        <v>J2</v>
      </c>
      <c r="AA7" s="27" t="str">
        <f ca="1">A5</f>
        <v>México</v>
      </c>
      <c r="AB7" s="49" t="e" cm="1" vm="1">
        <f t="array" aca="1" ref="AB7" ca="1">Ver_flag_local</f>
        <v>#VALUE!</v>
      </c>
      <c r="AC7" s="50">
        <v>1</v>
      </c>
      <c r="AD7" s="51">
        <v>0</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2</v>
      </c>
      <c r="AS7" s="39">
        <f t="shared" ca="1" si="15"/>
        <v>1</v>
      </c>
      <c r="AT7" s="43">
        <f t="shared" ca="1" si="15"/>
        <v>1</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6</v>
      </c>
      <c r="BL7" s="16">
        <f t="shared" ref="BL7:BL53" ca="1" si="42">+BJ7-BK7</f>
        <v>-6</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5.9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46197.875</v>
      </c>
      <c r="Y8" s="25">
        <f ca="1">Horarios!C8</f>
        <v>46197.875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4</v>
      </c>
      <c r="AN8" s="39">
        <f t="shared" ca="1" si="15"/>
        <v>3</v>
      </c>
      <c r="AO8" s="39">
        <f t="shared" ca="1" si="15"/>
        <v>1</v>
      </c>
      <c r="AP8" s="39">
        <f t="shared" ca="1" si="15"/>
        <v>1</v>
      </c>
      <c r="AQ8" s="39">
        <f t="shared" ca="1" si="15"/>
        <v>1</v>
      </c>
      <c r="AR8" s="39">
        <f t="shared" ca="1" si="15"/>
        <v>3</v>
      </c>
      <c r="AS8" s="39">
        <f t="shared" ca="1" si="15"/>
        <v>1</v>
      </c>
      <c r="AT8" s="43">
        <f t="shared" ca="1" si="15"/>
        <v>2</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1</v>
      </c>
      <c r="BL8" s="16">
        <f t="shared" ca="1" si="42"/>
        <v>2</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46197.875</v>
      </c>
      <c r="Y9" s="29">
        <f ca="1">Horarios!C9</f>
        <v>46197.875</v>
      </c>
      <c r="Z9" s="30" t="str">
        <f>$Z$8</f>
        <v>J3</v>
      </c>
      <c r="AA9" s="31" t="str">
        <f ca="1">A6</f>
        <v>Sudáfrica</v>
      </c>
      <c r="AB9" s="52" t="e" cm="1" vm="2">
        <f t="array" aca="1" ref="AB9" ca="1">Ver_flag_local</f>
        <v>#VALUE!</v>
      </c>
      <c r="AC9" s="53">
        <v>0</v>
      </c>
      <c r="AD9" s="54">
        <v>3</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6</v>
      </c>
      <c r="AT9" s="48">
        <f t="shared" ca="1" si="15"/>
        <v>-6</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2</v>
      </c>
      <c r="BK9" s="16">
        <f t="shared" ca="1" si="21"/>
        <v>1</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3</v>
      </c>
      <c r="BK10" s="16">
        <f t="shared" ca="1" si="21"/>
        <v>3</v>
      </c>
      <c r="BL10" s="16">
        <f t="shared" ca="1" si="42"/>
        <v>0</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4</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40" t="s">
        <v>1</v>
      </c>
      <c r="X12" s="24">
        <f ca="1">Horarios!C12</f>
        <v>46185.625</v>
      </c>
      <c r="Y12" s="25">
        <f ca="1">Horarios!C12</f>
        <v>46185.625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5</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46186.625</v>
      </c>
      <c r="Y13" s="25">
        <f ca="1">Horarios!C13</f>
        <v>46186.625</v>
      </c>
      <c r="Z13" s="26" t="str">
        <f>$Z$4</f>
        <v>J1</v>
      </c>
      <c r="AA13" s="27" t="str">
        <f ca="1">A15</f>
        <v>Catar</v>
      </c>
      <c r="AB13" s="49" t="e" cm="1" vm="7">
        <f t="array" aca="1" ref="AB13" ca="1">Ver_flag_local</f>
        <v>#VALUE!</v>
      </c>
      <c r="AC13" s="50">
        <v>0</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0</v>
      </c>
      <c r="BL13" s="16">
        <f t="shared" ca="1" si="42"/>
        <v>7</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0"/>
      <c r="X14" s="24">
        <f ca="1">Horarios!C14</f>
        <v>46191.625</v>
      </c>
      <c r="Y14" s="25">
        <f ca="1">Horarios!C14</f>
        <v>46191.625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0</v>
      </c>
      <c r="AT14" s="72">
        <f t="shared" ca="1" si="69"/>
        <v>7</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5</v>
      </c>
      <c r="BK14" s="16">
        <f t="shared" ca="1" si="21"/>
        <v>1</v>
      </c>
      <c r="BL14" s="16">
        <f t="shared" ca="1" si="42"/>
        <v>4</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Marruecos</v>
      </c>
    </row>
    <row r="15" spans="1:121" ht="15.9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40"/>
      <c r="X15" s="24">
        <f ca="1">Horarios!C15</f>
        <v>46191.75</v>
      </c>
      <c r="Y15" s="25">
        <f ca="1">Horarios!C15</f>
        <v>46191.75</v>
      </c>
      <c r="Z15" s="26" t="str">
        <f>$Z$6</f>
        <v>J2</v>
      </c>
      <c r="AA15" s="27" t="str">
        <f ca="1">A13</f>
        <v>Canadá</v>
      </c>
      <c r="AB15" s="49" t="e" cm="1" vm="5">
        <f t="array" aca="1" ref="AB15" ca="1">Ver_flag_local</f>
        <v>#VALUE!</v>
      </c>
      <c r="AC15" s="50">
        <v>1</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3</v>
      </c>
      <c r="AS15" s="39">
        <f t="shared" ca="1" si="69"/>
        <v>3</v>
      </c>
      <c r="AT15" s="74">
        <f t="shared" ca="1" si="69"/>
        <v>0</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4</v>
      </c>
      <c r="BK15" s="16">
        <f t="shared" ca="1" si="21"/>
        <v>1</v>
      </c>
      <c r="BL15" s="16">
        <f t="shared" ca="1" si="42"/>
        <v>3</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Brasil</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40"/>
      <c r="X16" s="24">
        <f ca="1">Horarios!C16</f>
        <v>46197.625</v>
      </c>
      <c r="Y16" s="25">
        <f ca="1">Horarios!C16</f>
        <v>46197.625</v>
      </c>
      <c r="Z16" s="26" t="str">
        <f>$Z$8</f>
        <v>J3</v>
      </c>
      <c r="AA16" s="27" t="str">
        <f ca="1">A16</f>
        <v>Suiza</v>
      </c>
      <c r="AB16" s="49" t="e" cm="1" vm="8">
        <f t="array" aca="1" ref="AB16" ca="1">Ver_flag_local</f>
        <v>#VALUE!</v>
      </c>
      <c r="AC16" s="50">
        <v>2</v>
      </c>
      <c r="AD16" s="51">
        <v>0</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4</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5</v>
      </c>
      <c r="BL16" s="16">
        <f t="shared" ca="1" si="42"/>
        <v>-5</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1"/>
      <c r="X17" s="28">
        <f ca="1">Horarios!C17</f>
        <v>46197.625</v>
      </c>
      <c r="Y17" s="29">
        <f ca="1">Horarios!C17</f>
        <v>46197.625</v>
      </c>
      <c r="Z17" s="30" t="str">
        <f>$Z$8</f>
        <v>J3</v>
      </c>
      <c r="AA17" s="31" t="str">
        <f ca="1">A14</f>
        <v>Bosnia y Herzegovina</v>
      </c>
      <c r="AB17" s="52" t="e" cm="1" vm="6">
        <f t="array" aca="1" ref="AB17" ca="1">Ver_flag_local</f>
        <v>#VALUE!</v>
      </c>
      <c r="AC17" s="53">
        <v>1</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0</v>
      </c>
      <c r="AS17" s="78">
        <f t="shared" ca="1" si="69"/>
        <v>5</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3</v>
      </c>
      <c r="BK18" s="16">
        <f t="shared" ca="1" si="21"/>
        <v>2</v>
      </c>
      <c r="BL18" s="16">
        <f t="shared" ca="1" si="42"/>
        <v>1</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2</v>
      </c>
      <c r="BF19" s="16">
        <f t="shared" ca="1" si="41"/>
        <v>3</v>
      </c>
      <c r="BG19" s="16">
        <f t="shared" ca="1" si="17"/>
        <v>0</v>
      </c>
      <c r="BH19" s="16">
        <f t="shared" ca="1" si="18"/>
        <v>2</v>
      </c>
      <c r="BI19" s="16">
        <f t="shared" ca="1" si="19"/>
        <v>1</v>
      </c>
      <c r="BJ19" s="16">
        <f t="shared" ca="1" si="20"/>
        <v>1</v>
      </c>
      <c r="BK19" s="16">
        <f t="shared" ca="1" si="21"/>
        <v>2</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2</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P.3 (2)</v>
      </c>
      <c r="BU19" s="16">
        <f t="shared" ca="1" si="24"/>
        <v>0</v>
      </c>
      <c r="BV19" s="16">
        <f t="shared" ca="1" si="25"/>
        <v>1</v>
      </c>
      <c r="BW19" s="16">
        <f t="shared" ca="1" si="26"/>
        <v>0</v>
      </c>
      <c r="BX19" s="16">
        <f t="shared" ca="1" si="48"/>
        <v>1</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P.3 (2)</v>
      </c>
      <c r="CA19" s="16">
        <f t="shared" ca="1" si="27"/>
        <v>0</v>
      </c>
      <c r="CB19" s="16">
        <f t="shared" ca="1" si="28"/>
        <v>0</v>
      </c>
      <c r="CC19" s="16">
        <f t="shared" ca="1" si="49"/>
        <v>0</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P.3 (2)</v>
      </c>
      <c r="CF19" s="16">
        <f t="shared" ca="1" si="29"/>
        <v>0</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P.3 (2)</v>
      </c>
      <c r="CI19" s="16">
        <f t="shared" ca="1" si="30"/>
        <v>0</v>
      </c>
      <c r="CJ19" s="16">
        <f t="shared" ca="1" si="31"/>
        <v>1</v>
      </c>
      <c r="CK19" s="16">
        <f t="shared" ca="1" si="32"/>
        <v>0</v>
      </c>
      <c r="CL19" s="16">
        <f t="shared" ca="1" si="50"/>
        <v>1</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P.3 (2)</v>
      </c>
      <c r="CO19" s="16">
        <f t="shared" ca="1" si="33"/>
        <v>0</v>
      </c>
      <c r="CP19" s="16">
        <f t="shared" ca="1" si="34"/>
        <v>0</v>
      </c>
      <c r="CQ19" s="16">
        <f t="shared" ca="1" si="51"/>
        <v>0</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P.3 (2)</v>
      </c>
      <c r="CT19" s="16">
        <f t="shared" ca="1" si="35"/>
        <v>0</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P.3 (2)</v>
      </c>
      <c r="CW19" s="16">
        <f t="shared" ca="1" si="36"/>
        <v>-1</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P.3 (2)</v>
      </c>
      <c r="CZ19" s="16">
        <f t="shared" ca="1" si="37"/>
        <v>1</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P.3 (2)</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3</v>
      </c>
      <c r="DE19" s="16"/>
      <c r="DF19" s="16">
        <f t="shared" ca="1" si="52"/>
        <v>3.0030000000000001</v>
      </c>
      <c r="DG19" s="16">
        <f ca="1">IF(DB19="-","-",COUNTIFS(DF$6:DF$53,"&lt;"&amp;DF19,$BC$6:$BC$53,INDEX(T_Equipos[Grupo],MATCH(BD19,T_Equipos[NombreEquipo],0))))</f>
        <v>2</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9" t="s">
        <v>2</v>
      </c>
      <c r="X20" s="24">
        <f ca="1">Horarios!C20</f>
        <v>46186.75</v>
      </c>
      <c r="Y20" s="25">
        <f ca="1">Horarios!C20</f>
        <v>46186.75</v>
      </c>
      <c r="Z20" s="26" t="str">
        <f>$Z$4</f>
        <v>J1</v>
      </c>
      <c r="AA20" s="27" t="str">
        <f ca="1">A21</f>
        <v>Brasil</v>
      </c>
      <c r="AB20" s="49" t="e" cm="1" vm="9">
        <f t="array" aca="1" ref="AB20" ca="1">Ver_flag_local</f>
        <v>#VALUE!</v>
      </c>
      <c r="AC20" s="50">
        <v>0</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1</v>
      </c>
      <c r="BK20" s="16">
        <f t="shared" ca="1" si="21"/>
        <v>2</v>
      </c>
      <c r="BL20" s="16">
        <f t="shared" ca="1" si="42"/>
        <v>-1</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4"/>
        <v>0</v>
      </c>
      <c r="BV20" s="16">
        <f t="shared" ca="1" si="25"/>
        <v>1</v>
      </c>
      <c r="BW20" s="16">
        <f t="shared" ca="1" si="26"/>
        <v>0</v>
      </c>
      <c r="BX20" s="16">
        <f t="shared" ca="1" si="48"/>
        <v>1</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27"/>
        <v>0</v>
      </c>
      <c r="CB20" s="16">
        <f t="shared" ca="1" si="28"/>
        <v>0</v>
      </c>
      <c r="CC20" s="16">
        <f t="shared" ca="1" si="49"/>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29"/>
        <v>0</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1</v>
      </c>
      <c r="CK20" s="16">
        <f t="shared" ca="1" si="32"/>
        <v>0</v>
      </c>
      <c r="CL20" s="16">
        <f t="shared" ca="1" si="50"/>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0</v>
      </c>
      <c r="CP20" s="16">
        <f t="shared" ca="1" si="34"/>
        <v>0</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0</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-1</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P.3 (2)</v>
      </c>
      <c r="CZ20" s="16">
        <f t="shared" ca="1" si="37"/>
        <v>1</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P.3 (2)</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4</v>
      </c>
      <c r="DE20" s="16"/>
      <c r="DF20" s="16">
        <f t="shared" ca="1" si="52"/>
        <v>4.0039999999999996</v>
      </c>
      <c r="DG20" s="16">
        <f ca="1">IF(DB20="-","-",COUNTIFS(DF$6:DF$53,"&lt;"&amp;DF20,$BC$6:$BC$53,INDEX(T_Equipos[Grupo],MATCH(BD20,T_Equipos[NombreEquipo],0))))</f>
        <v>3</v>
      </c>
      <c r="DH20" s="16">
        <f ca="1">DA20+COUNTIFS(DB$6:DB$53,DB20,DG$6:DG$53,"&lt;"&amp;DG20,$BC$6:$BC$53,INDEX(T_Equipos[Grupo],MATCH(BD20,T_Equipos[NombreEquipo],0)))</f>
        <v>4</v>
      </c>
      <c r="DI20" s="16"/>
      <c r="DJ20" s="16">
        <f t="shared" ca="1" si="38"/>
        <v>3</v>
      </c>
      <c r="DK20" s="16">
        <f t="shared" ca="1" si="39"/>
        <v>12</v>
      </c>
      <c r="DL20" s="16">
        <f t="shared" ca="1" si="40"/>
        <v>2</v>
      </c>
      <c r="DM20" s="16" t="str">
        <f t="shared" ca="1" si="46"/>
        <v>3.2</v>
      </c>
      <c r="DN20" s="16" t="e" cm="1" vm="11">
        <f t="array" aca="1" ref="DN20" ca="1">OFFSET(Horarios!$P$3,DJ20-1,0,DL20,1)</f>
        <v>#VALUE!</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46186.875</v>
      </c>
      <c r="Y21" s="25">
        <f ca="1">Horarios!C21</f>
        <v>46186.875</v>
      </c>
      <c r="Z21" s="26" t="str">
        <f>$Z$4</f>
        <v>J1</v>
      </c>
      <c r="AA21" s="27" t="str">
        <f ca="1">A23</f>
        <v>Haití</v>
      </c>
      <c r="AB21" s="49" t="e" cm="1" vm="12">
        <f t="array" aca="1" ref="AB21" ca="1">Ver_flag_local</f>
        <v>#VALUE!</v>
      </c>
      <c r="AC21" s="50">
        <v>0</v>
      </c>
      <c r="AD21" s="51">
        <v>2</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2</v>
      </c>
      <c r="BK21" s="16">
        <f t="shared" ca="1" si="21"/>
        <v>1</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3</v>
      </c>
      <c r="DK21" s="16">
        <f t="shared" ca="1" si="39"/>
        <v>12</v>
      </c>
      <c r="DL21" s="16">
        <f t="shared" ca="1" si="40"/>
        <v>2</v>
      </c>
      <c r="DM21" s="16" t="str">
        <f t="shared" ca="1" si="46"/>
        <v>3.2</v>
      </c>
      <c r="DN21" s="16" t="e" cm="1" vm="11">
        <f t="array" aca="1" ref="DN21" ca="1">OFFSET(Horarios!$P$3,DJ21-1,0,DL21,1)</f>
        <v>#VALUE!</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9"/>
      <c r="X22" s="24">
        <f ca="1">Horarios!C22</f>
        <v>46192.75</v>
      </c>
      <c r="Y22" s="25">
        <f ca="1">Horarios!C22</f>
        <v>46192.75</v>
      </c>
      <c r="Z22" s="26" t="str">
        <f>$Z$6</f>
        <v>J2</v>
      </c>
      <c r="AA22" s="27" t="str">
        <f ca="1">A24</f>
        <v>Escocia</v>
      </c>
      <c r="AB22" s="49" t="e" cm="1" vm="13">
        <f t="array" aca="1" ref="AB22" ca="1">Ver_flag_local</f>
        <v>#VALUE!</v>
      </c>
      <c r="AC22" s="50">
        <v>1</v>
      </c>
      <c r="AD22" s="51">
        <v>2</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4</v>
      </c>
      <c r="AS22" s="36">
        <f t="shared" ca="1" si="87"/>
        <v>1</v>
      </c>
      <c r="AT22" s="41">
        <f t="shared" ca="1" si="87"/>
        <v>3</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8</v>
      </c>
      <c r="BK22" s="16">
        <f t="shared" ca="1" si="21"/>
        <v>3</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2</v>
      </c>
      <c r="CB22" s="16">
        <f t="shared" ca="1" si="28"/>
        <v>2</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2</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2</v>
      </c>
      <c r="CP22" s="16">
        <f t="shared" ca="1" si="34"/>
        <v>2</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2</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5</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9"/>
      <c r="X23" s="24">
        <f ca="1">Horarios!C23</f>
        <v>46192.854166666664</v>
      </c>
      <c r="Y23" s="25">
        <f ca="1">Horarios!C23</f>
        <v>46192.854166666664</v>
      </c>
      <c r="Z23" s="26" t="str">
        <f>$Z$6</f>
        <v>J2</v>
      </c>
      <c r="AA23" s="27" t="str">
        <f ca="1">A21</f>
        <v>Brasil</v>
      </c>
      <c r="AB23" s="49" t="e" cm="1" vm="9">
        <f t="array" aca="1" ref="AB23" ca="1">Ver_flag_local</f>
        <v>#VALUE!</v>
      </c>
      <c r="AC23" s="50">
        <v>2</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5</v>
      </c>
      <c r="AS23" s="39">
        <f t="shared" ca="1" si="87"/>
        <v>1</v>
      </c>
      <c r="AT23" s="43">
        <f t="shared" ca="1" si="87"/>
        <v>4</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9"/>
      <c r="X24" s="24">
        <f ca="1">Horarios!C24</f>
        <v>46197.75</v>
      </c>
      <c r="Y24" s="25">
        <f ca="1">Horarios!C24</f>
        <v>46197.75</v>
      </c>
      <c r="Z24" s="26" t="str">
        <f>$Z$8</f>
        <v>J3</v>
      </c>
      <c r="AA24" s="27" t="str">
        <f ca="1">A24</f>
        <v>Escocia</v>
      </c>
      <c r="AB24" s="49" t="e" cm="1" vm="13">
        <f t="array" aca="1" ref="AB24" ca="1">Ver_flag_local</f>
        <v>#VALUE!</v>
      </c>
      <c r="AC24" s="50">
        <v>0</v>
      </c>
      <c r="AD24" s="51">
        <v>3</v>
      </c>
      <c r="AE24" s="595" t="e" cm="1" vm="9">
        <f t="array" aca="1" ref="AE24" ca="1">Ver_flag_visit</f>
        <v>#VALUE!</v>
      </c>
      <c r="AF24" s="32" t="str">
        <f ca="1">A21</f>
        <v>Brasil</v>
      </c>
      <c r="AG24" s="323">
        <f t="shared" si="84"/>
        <v>1</v>
      </c>
      <c r="AH24" s="195">
        <v>49</v>
      </c>
      <c r="AI24" s="181" t="str">
        <f t="shared" si="88"/>
        <v>3C</v>
      </c>
      <c r="AJ24" s="42">
        <v>3</v>
      </c>
      <c r="AK24" s="602"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5</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50"/>
      <c r="X25" s="28">
        <f ca="1">Horarios!C25</f>
        <v>46197.75</v>
      </c>
      <c r="Y25" s="29">
        <f ca="1">Horarios!C25</f>
        <v>46197.75</v>
      </c>
      <c r="Z25" s="30" t="str">
        <f>$Z$8</f>
        <v>J3</v>
      </c>
      <c r="AA25" s="31" t="str">
        <f ca="1">A22</f>
        <v>Marruecos</v>
      </c>
      <c r="AB25" s="52" t="e" cm="1" vm="10">
        <f t="array" aca="1" ref="AB25" ca="1">Ver_flag_local</f>
        <v>#VALUE!</v>
      </c>
      <c r="AC25" s="53">
        <v>1</v>
      </c>
      <c r="AD25" s="54">
        <v>0</v>
      </c>
      <c r="AE25" s="596" t="e" cm="1" vm="12">
        <f t="array" aca="1" ref="AE25" ca="1">Ver_flag_visit</f>
        <v>#VALUE!</v>
      </c>
      <c r="AF25" s="33" t="str">
        <f ca="1">A23</f>
        <v>Haití</v>
      </c>
      <c r="AG25" s="323">
        <f t="shared" si="84"/>
        <v>1</v>
      </c>
      <c r="AH25" s="195">
        <v>50</v>
      </c>
      <c r="AI25" s="181" t="str">
        <f t="shared" si="88"/>
        <v>4C</v>
      </c>
      <c r="AJ25" s="44">
        <v>4</v>
      </c>
      <c r="AK25" s="604"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5</v>
      </c>
      <c r="AT25" s="48">
        <f t="shared" ca="1" si="87"/>
        <v>-5</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6</v>
      </c>
      <c r="BK25" s="16">
        <f t="shared" ca="1" si="21"/>
        <v>2</v>
      </c>
      <c r="BL25" s="16">
        <f t="shared" ca="1" si="42"/>
        <v>4</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2</v>
      </c>
      <c r="CB25" s="16">
        <f t="shared" ca="1" si="28"/>
        <v>2</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2</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2</v>
      </c>
      <c r="CP25" s="16">
        <f t="shared" ca="1" si="34"/>
        <v>2</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2</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4</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1</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4</v>
      </c>
      <c r="BK27" s="16">
        <f t="shared" ca="1" si="21"/>
        <v>2</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P.3 (2)</v>
      </c>
      <c r="G28" s="16"/>
      <c r="H28" s="16" t="str">
        <f t="shared" ref="H28:H33" ca="1" si="94">IF(D28="Pendiente","-",INDEX($BZ$6:$BZ$53,MATCH($AA28,$BD$6:$BD$53,0)))</f>
        <v>-</v>
      </c>
      <c r="I28" s="16" t="str">
        <f t="shared" ref="I28:I33" ca="1" si="95">IF(D28="Pendiente","-",INDEX($BZ$6:$BZ$53,MATCH($AF28,$BD$6:$BD$53,0)))</f>
        <v>P.3 (2)</v>
      </c>
      <c r="J28" s="16"/>
      <c r="K28" s="16" t="str">
        <f t="shared" ref="K28:K33" ca="1" si="96">IF(D28="Pendiente","-",INDEX($CE$6:$CE$53,MATCH($AA28,$BD$6:$BD$53,0)))</f>
        <v>-</v>
      </c>
      <c r="L28" s="16" t="str">
        <f t="shared" ref="L28:L33" ca="1" si="97">IF(D28="Pendiente","-",INDEX($CE$6:$CE$53,MATCH($AF28,$BD$6:$BD$53,0)))</f>
        <v>P.3 (2)</v>
      </c>
      <c r="M28" s="16"/>
      <c r="N28" s="16" t="str">
        <f t="shared" ref="N28:N33" ca="1" si="98">IF(D28="Pendiente","-",INDEX($CH$6:$CH$53,MATCH($AA28,$BD$6:$BD$53,0)))</f>
        <v>-</v>
      </c>
      <c r="O28" s="16" t="str">
        <f t="shared" ref="O28:O33" ca="1" si="99">IF(D28="Pendiente","-",INDEX($CH$6:$CH$53,MATCH($AF28,$BD$6:$BD$53,0)))</f>
        <v>P.3 (2)</v>
      </c>
      <c r="P28" s="16"/>
      <c r="Q28" s="16" t="str">
        <f t="shared" ref="Q28:Q33" ca="1" si="100">IF(D28="Pendiente","-",INDEX($CN$6:$CN$53,MATCH($AA28,$BD$6:$BD$53,0)))</f>
        <v>-</v>
      </c>
      <c r="R28" s="16" t="str">
        <f t="shared" ref="R28:R33" ca="1" si="101">IF(D28="Pendiente","-",INDEX($CN$6:$CN$53,MATCH($AF28,$BD$6:$BD$53,0)))</f>
        <v>P.3 (2)</v>
      </c>
      <c r="S28" s="16"/>
      <c r="T28" s="16" t="str">
        <f t="shared" ref="T28:T33" ca="1" si="102">IF(D28="Pendiente","-",INDEX($CS$6:$CS$53,MATCH($AA28,$BD$6:$BD$53,0)))</f>
        <v>-</v>
      </c>
      <c r="U28" s="16" t="str">
        <f t="shared" ref="U28:U33" ca="1" si="103">IF(D28="Pendiente","-",INDEX($CS$6:$CS$53,MATCH($AF28,$BD$6:$BD$53,0)))</f>
        <v>P.3 (2)</v>
      </c>
      <c r="V28" s="17"/>
      <c r="W28" s="651" t="s">
        <v>74</v>
      </c>
      <c r="X28" s="24">
        <f ca="1">Horarios!C28</f>
        <v>46185.875</v>
      </c>
      <c r="Y28" s="25">
        <f ca="1">Horarios!C28</f>
        <v>46185.875</v>
      </c>
      <c r="Z28" s="26" t="str">
        <f>$Z$4</f>
        <v>J1</v>
      </c>
      <c r="AA28" s="27" t="str">
        <f ca="1">A29</f>
        <v>Estados Unidos</v>
      </c>
      <c r="AB28" s="49" t="e" cm="1" vm="14">
        <f t="array" aca="1" ref="AB28" ca="1">Ver_flag_local</f>
        <v>#VALUE!</v>
      </c>
      <c r="AC28" s="50">
        <v>2</v>
      </c>
      <c r="AD28" s="51">
        <v>1</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¡EMPATE! Puedes seleccionar el orden de los empatados.</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2</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Empate</v>
      </c>
      <c r="E29" s="16" t="str">
        <f t="shared" ca="1" si="92"/>
        <v>P.3 (2)</v>
      </c>
      <c r="F29" s="16" t="str">
        <f t="shared" ca="1" si="93"/>
        <v>-</v>
      </c>
      <c r="G29" s="16"/>
      <c r="H29" s="16" t="str">
        <f t="shared" ca="1" si="94"/>
        <v>P.3 (2)</v>
      </c>
      <c r="I29" s="16" t="str">
        <f t="shared" ca="1" si="95"/>
        <v>-</v>
      </c>
      <c r="J29" s="16"/>
      <c r="K29" s="16" t="str">
        <f t="shared" ca="1" si="96"/>
        <v>P.3 (2)</v>
      </c>
      <c r="L29" s="16" t="str">
        <f t="shared" ca="1" si="97"/>
        <v>-</v>
      </c>
      <c r="M29" s="16"/>
      <c r="N29" s="16" t="str">
        <f t="shared" ca="1" si="98"/>
        <v>P.3 (2)</v>
      </c>
      <c r="O29" s="16" t="str">
        <f t="shared" ca="1" si="99"/>
        <v>-</v>
      </c>
      <c r="P29" s="16"/>
      <c r="Q29" s="16" t="str">
        <f t="shared" ca="1" si="100"/>
        <v>P.3 (2)</v>
      </c>
      <c r="R29" s="16" t="str">
        <f t="shared" ca="1" si="101"/>
        <v>-</v>
      </c>
      <c r="S29" s="16"/>
      <c r="T29" s="16" t="str">
        <f t="shared" ca="1" si="102"/>
        <v>P.3 (2)</v>
      </c>
      <c r="U29" s="16" t="str">
        <f t="shared" ca="1" si="103"/>
        <v>-</v>
      </c>
      <c r="V29" s="17"/>
      <c r="W29" s="651"/>
      <c r="X29" s="24">
        <f ca="1">Horarios!C29</f>
        <v>46187</v>
      </c>
      <c r="Y29" s="25">
        <f ca="1">Horarios!C29</f>
        <v>46187</v>
      </c>
      <c r="Z29" s="26" t="str">
        <f>$Z$4</f>
        <v>J1</v>
      </c>
      <c r="AA29" s="27" t="str">
        <f ca="1">A31</f>
        <v>Australia</v>
      </c>
      <c r="AB29" s="49" t="e" cm="1" vm="16">
        <f t="array" aca="1" ref="AB29" ca="1">Ver_flag_local</f>
        <v>#VALUE!</v>
      </c>
      <c r="AC29" s="50">
        <v>1</v>
      </c>
      <c r="AD29" s="51">
        <v>1</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2</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8</v>
      </c>
      <c r="BL29" s="16">
        <f t="shared" ca="1" si="42"/>
        <v>-8</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P.3 (2)</v>
      </c>
      <c r="G30" s="16"/>
      <c r="H30" s="16" t="str">
        <f t="shared" ca="1" si="94"/>
        <v>-</v>
      </c>
      <c r="I30" s="16" t="str">
        <f t="shared" ca="1" si="95"/>
        <v>P.3 (2)</v>
      </c>
      <c r="J30" s="16"/>
      <c r="K30" s="16" t="str">
        <f t="shared" ca="1" si="96"/>
        <v>-</v>
      </c>
      <c r="L30" s="16" t="str">
        <f t="shared" ca="1" si="97"/>
        <v>P.3 (2)</v>
      </c>
      <c r="M30" s="16"/>
      <c r="N30" s="16" t="str">
        <f t="shared" ca="1" si="98"/>
        <v>-</v>
      </c>
      <c r="O30" s="16" t="str">
        <f t="shared" ca="1" si="99"/>
        <v>P.3 (2)</v>
      </c>
      <c r="P30" s="16"/>
      <c r="Q30" s="16" t="str">
        <f t="shared" ca="1" si="100"/>
        <v>-</v>
      </c>
      <c r="R30" s="16" t="str">
        <f t="shared" ca="1" si="101"/>
        <v>P.3 (2)</v>
      </c>
      <c r="S30" s="16"/>
      <c r="T30" s="16" t="str">
        <f t="shared" ca="1" si="102"/>
        <v>-</v>
      </c>
      <c r="U30" s="16" t="str">
        <f t="shared" ca="1" si="103"/>
        <v>P.3 (2)</v>
      </c>
      <c r="V30" s="17"/>
      <c r="W30" s="651"/>
      <c r="X30" s="24">
        <f ca="1">Horarios!C30</f>
        <v>46192.625</v>
      </c>
      <c r="Y30" s="25">
        <f ca="1">Horarios!C30</f>
        <v>46192.625</v>
      </c>
      <c r="Z30" s="26" t="str">
        <f>$Z$6</f>
        <v>J2</v>
      </c>
      <c r="AA30" s="27" t="str">
        <f ca="1">A29</f>
        <v>Estados Unidos</v>
      </c>
      <c r="AB30" s="49" t="e" cm="1" vm="14">
        <f t="array" aca="1" ref="AB30" ca="1">Ver_flag_local</f>
        <v>#VALUE!</v>
      </c>
      <c r="AC30" s="50">
        <v>1</v>
      </c>
      <c r="AD30" s="51">
        <v>0</v>
      </c>
      <c r="AE30" s="595" t="e" cm="1" vm="16">
        <f t="array" aca="1" ref="AE30" ca="1">Ver_flag_visit</f>
        <v>#VALUE!</v>
      </c>
      <c r="AF30" s="32" t="str">
        <f ca="1">A31</f>
        <v>Australia</v>
      </c>
      <c r="AG30" s="323">
        <f t="shared" si="104"/>
        <v>1</v>
      </c>
      <c r="AH30" s="195">
        <v>32</v>
      </c>
      <c r="AI30" s="181" t="str">
        <f>AJ30&amp;$B$28</f>
        <v>1D</v>
      </c>
      <c r="AJ30" s="40">
        <v>1</v>
      </c>
      <c r="AK30" s="601" t="e" cm="1" vm="14">
        <f t="array" aca="1" ref="AK30" ca="1">Ver_flag_visit</f>
        <v>#VALUE!</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3</v>
      </c>
      <c r="AS30" s="36">
        <f t="shared" ca="1" si="107"/>
        <v>2</v>
      </c>
      <c r="AT30" s="41">
        <f t="shared" ca="1" si="107"/>
        <v>1</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1</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Empate</v>
      </c>
      <c r="E31" s="16" t="str">
        <f t="shared" ca="1" si="92"/>
        <v>-</v>
      </c>
      <c r="F31" s="16" t="str">
        <f t="shared" ca="1" si="93"/>
        <v>P.3 (2)</v>
      </c>
      <c r="G31" s="16"/>
      <c r="H31" s="16" t="str">
        <f t="shared" ca="1" si="94"/>
        <v>-</v>
      </c>
      <c r="I31" s="16" t="str">
        <f t="shared" ca="1" si="95"/>
        <v>P.3 (2)</v>
      </c>
      <c r="J31" s="16"/>
      <c r="K31" s="16" t="str">
        <f t="shared" ca="1" si="96"/>
        <v>-</v>
      </c>
      <c r="L31" s="16" t="str">
        <f t="shared" ca="1" si="97"/>
        <v>P.3 (2)</v>
      </c>
      <c r="M31" s="16"/>
      <c r="N31" s="16" t="str">
        <f t="shared" ca="1" si="98"/>
        <v>-</v>
      </c>
      <c r="O31" s="16" t="str">
        <f t="shared" ca="1" si="99"/>
        <v>P.3 (2)</v>
      </c>
      <c r="P31" s="16"/>
      <c r="Q31" s="16" t="str">
        <f t="shared" ca="1" si="100"/>
        <v>-</v>
      </c>
      <c r="R31" s="16" t="str">
        <f t="shared" ca="1" si="101"/>
        <v>P.3 (2)</v>
      </c>
      <c r="S31" s="16"/>
      <c r="T31" s="16" t="str">
        <f t="shared" ca="1" si="102"/>
        <v>-</v>
      </c>
      <c r="U31" s="16" t="str">
        <f t="shared" ca="1" si="103"/>
        <v>P.3 (2)</v>
      </c>
      <c r="V31" s="17"/>
      <c r="W31" s="651"/>
      <c r="X31" s="24">
        <f ca="1">Horarios!C31</f>
        <v>46192.958333333336</v>
      </c>
      <c r="Y31" s="25">
        <f ca="1">Horarios!C31</f>
        <v>46192.958333333336</v>
      </c>
      <c r="Z31" s="26" t="str">
        <f>$Z$6</f>
        <v>J2</v>
      </c>
      <c r="AA31" s="27" t="str">
        <f ca="1">A32</f>
        <v>Turquía</v>
      </c>
      <c r="AB31" s="49" t="e" cm="1" vm="17">
        <f t="array" aca="1" ref="AB31" ca="1">Ver_flag_local</f>
        <v>#VALUE!</v>
      </c>
      <c r="AC31" s="50">
        <v>0</v>
      </c>
      <c r="AD31" s="51">
        <v>0</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2</v>
      </c>
      <c r="AS31" s="39">
        <f t="shared" ca="1" si="107"/>
        <v>1</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7</v>
      </c>
      <c r="BF31" s="16">
        <f t="shared" ca="1" si="41"/>
        <v>3</v>
      </c>
      <c r="BG31" s="16">
        <f t="shared" ca="1" si="17"/>
        <v>2</v>
      </c>
      <c r="BH31" s="16">
        <f t="shared" ca="1" si="18"/>
        <v>1</v>
      </c>
      <c r="BI31" s="16">
        <f t="shared" ca="1" si="19"/>
        <v>0</v>
      </c>
      <c r="BJ31" s="16">
        <f t="shared" ca="1" si="20"/>
        <v>3</v>
      </c>
      <c r="BK31" s="16">
        <f t="shared" ca="1" si="21"/>
        <v>1</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46198.916666666664</v>
      </c>
      <c r="Y32" s="25">
        <f ca="1">Horarios!C32</f>
        <v>46198.916666666664</v>
      </c>
      <c r="Z32" s="26" t="str">
        <f>$Z$8</f>
        <v>J3</v>
      </c>
      <c r="AA32" s="27" t="str">
        <f ca="1">A32</f>
        <v>Turquía</v>
      </c>
      <c r="AB32" s="49" t="e" cm="1" vm="17">
        <f t="array" aca="1" ref="AB32" ca="1">Ver_flag_local</f>
        <v>#VALUE!</v>
      </c>
      <c r="AC32" s="50">
        <v>1</v>
      </c>
      <c r="AD32" s="51">
        <v>0</v>
      </c>
      <c r="AE32" s="595" t="e" cm="1" vm="14">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Paraguay</v>
      </c>
      <c r="AM32" s="38">
        <f t="shared" ca="1" si="107"/>
        <v>2</v>
      </c>
      <c r="AN32" s="39">
        <f t="shared" ca="1" si="107"/>
        <v>3</v>
      </c>
      <c r="AO32" s="39">
        <f t="shared" ca="1" si="107"/>
        <v>0</v>
      </c>
      <c r="AP32" s="39">
        <f t="shared" ca="1" si="107"/>
        <v>2</v>
      </c>
      <c r="AQ32" s="39">
        <f t="shared" ca="1" si="107"/>
        <v>1</v>
      </c>
      <c r="AR32" s="39">
        <f t="shared" ca="1" si="107"/>
        <v>1</v>
      </c>
      <c r="AS32" s="39">
        <f t="shared" ca="1" si="107"/>
        <v>2</v>
      </c>
      <c r="AT32" s="43">
        <f t="shared" ca="1" si="107"/>
        <v>-1</v>
      </c>
      <c r="AU32" s="330">
        <f ca="1">INDEX($DL$6:$DL$53,MATCH(AI32,$DP$6:$DP$53,0))</f>
        <v>2</v>
      </c>
      <c r="AV32" s="182" t="str">
        <f ca="1">INDEX($BD$6:$BD$53,MATCH(AI32,$BM$6:$BM$53,0))</f>
        <v>Paraguay</v>
      </c>
      <c r="AW32" s="210">
        <v>3</v>
      </c>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0</v>
      </c>
      <c r="BK32" s="16">
        <f t="shared" ca="1" si="21"/>
        <v>3</v>
      </c>
      <c r="BL32" s="16">
        <f t="shared" ca="1" si="42"/>
        <v>-3</v>
      </c>
      <c r="BM32" s="16" t="str">
        <f t="shared" ca="1" si="22"/>
        <v>3G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-3</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P.3 (2)</v>
      </c>
      <c r="CZ32" s="16">
        <f t="shared" ca="1" si="37"/>
        <v>0</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P.3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4.0030000000000001</v>
      </c>
      <c r="DG32" s="16">
        <f ca="1">IF(DB32="-","-",COUNTIFS(DF$6:DF$53,"&lt;"&amp;DF32,$BC$6:$BC$53,INDEX(T_Equipos[Grupo],MATCH(BD32,T_Equipos[NombreEquipo],0))))</f>
        <v>3</v>
      </c>
      <c r="DH32" s="16">
        <f ca="1">DA32+COUNTIFS(DB$6:DB$53,DB32,DG$6:DG$53,"&lt;"&amp;DG32,$BC$6:$BC$53,INDEX(T_Equipos[Grupo],MATCH(BD32,T_Equipos[NombreEquipo],0)))</f>
        <v>4</v>
      </c>
      <c r="DI32" s="16"/>
      <c r="DJ32" s="16">
        <f t="shared" ca="1" si="38"/>
        <v>3</v>
      </c>
      <c r="DK32" s="16">
        <f t="shared" ca="1" si="39"/>
        <v>12</v>
      </c>
      <c r="DL32" s="16">
        <f t="shared" ca="1" si="40"/>
        <v>2</v>
      </c>
      <c r="DM32" s="16" t="str">
        <f t="shared" ca="1" si="46"/>
        <v>3.2</v>
      </c>
      <c r="DN32" s="16" t="e" cm="1" vm="11">
        <f t="array" aca="1" ref="DN32" ca="1">OFFSET(Horarios!$P$3,DJ32-1,0,DL32,1)</f>
        <v>#VALUE!</v>
      </c>
      <c r="DO32" s="16"/>
      <c r="DP32" s="16" t="s">
        <v>445</v>
      </c>
      <c r="DQ32" s="16" t="str">
        <f t="shared" ca="1" si="47"/>
        <v>Irán</v>
      </c>
    </row>
    <row r="33" spans="1:121" ht="15.95" customHeight="1" thickBot="1">
      <c r="A33" s="16"/>
      <c r="B33" s="16"/>
      <c r="C33" s="16"/>
      <c r="D33" s="16" t="str">
        <f t="shared" si="91"/>
        <v>Empate</v>
      </c>
      <c r="E33" s="16" t="str">
        <f t="shared" ca="1" si="92"/>
        <v>P.3 (2)</v>
      </c>
      <c r="F33" s="16" t="str">
        <f t="shared" ca="1" si="93"/>
        <v>P.3 (2)</v>
      </c>
      <c r="G33" s="16"/>
      <c r="H33" s="16" t="str">
        <f t="shared" ca="1" si="94"/>
        <v>P.3 (2)</v>
      </c>
      <c r="I33" s="16" t="str">
        <f t="shared" ca="1" si="95"/>
        <v>P.3 (2)</v>
      </c>
      <c r="J33" s="16"/>
      <c r="K33" s="16" t="str">
        <f t="shared" ca="1" si="96"/>
        <v>P.3 (2)</v>
      </c>
      <c r="L33" s="16" t="str">
        <f t="shared" ca="1" si="97"/>
        <v>P.3 (2)</v>
      </c>
      <c r="M33" s="16"/>
      <c r="N33" s="16" t="str">
        <f t="shared" ca="1" si="98"/>
        <v>P.3 (2)</v>
      </c>
      <c r="O33" s="16" t="str">
        <f t="shared" ca="1" si="99"/>
        <v>P.3 (2)</v>
      </c>
      <c r="P33" s="16"/>
      <c r="Q33" s="16" t="str">
        <f t="shared" ca="1" si="100"/>
        <v>P.3 (2)</v>
      </c>
      <c r="R33" s="16" t="str">
        <f t="shared" ca="1" si="101"/>
        <v>P.3 (2)</v>
      </c>
      <c r="S33" s="16"/>
      <c r="T33" s="16" t="str">
        <f t="shared" ca="1" si="102"/>
        <v>P.3 (2)</v>
      </c>
      <c r="U33" s="16" t="str">
        <f t="shared" ca="1" si="103"/>
        <v>P.3 (2)</v>
      </c>
      <c r="V33" s="17"/>
      <c r="W33" s="652"/>
      <c r="X33" s="28">
        <f ca="1">Horarios!C33</f>
        <v>46198.916666666664</v>
      </c>
      <c r="Y33" s="29">
        <f ca="1">Horarios!C33</f>
        <v>46198.916666666664</v>
      </c>
      <c r="Z33" s="30" t="str">
        <f>$Z$8</f>
        <v>J3</v>
      </c>
      <c r="AA33" s="31" t="str">
        <f ca="1">A30</f>
        <v>Paraguay</v>
      </c>
      <c r="AB33" s="52" t="e" cm="1" vm="15">
        <f t="array" aca="1" ref="AB33" ca="1">Ver_flag_local</f>
        <v>#VALUE!</v>
      </c>
      <c r="AC33" s="53">
        <v>0</v>
      </c>
      <c r="AD33" s="54">
        <v>0</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2</v>
      </c>
      <c r="AN33" s="47">
        <f t="shared" ca="1" si="107"/>
        <v>3</v>
      </c>
      <c r="AO33" s="47">
        <f t="shared" ca="1" si="107"/>
        <v>0</v>
      </c>
      <c r="AP33" s="47">
        <f t="shared" ca="1" si="107"/>
        <v>2</v>
      </c>
      <c r="AQ33" s="47">
        <f t="shared" ca="1" si="107"/>
        <v>1</v>
      </c>
      <c r="AR33" s="47">
        <f t="shared" ca="1" si="107"/>
        <v>1</v>
      </c>
      <c r="AS33" s="47">
        <f t="shared" ca="1" si="107"/>
        <v>2</v>
      </c>
      <c r="AT33" s="48">
        <f t="shared" ca="1" si="107"/>
        <v>-1</v>
      </c>
      <c r="AU33" s="330">
        <f ca="1">INDEX($DL$6:$DL$53,MATCH(AI33,$DP$6:$DP$53,0))</f>
        <v>2</v>
      </c>
      <c r="AV33" s="182" t="str">
        <f ca="1">INDEX($BD$6:$BD$53,MATCH(AI33,$BM$6:$BM$53,0))</f>
        <v>Australia</v>
      </c>
      <c r="AW33" s="210">
        <v>4</v>
      </c>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0</v>
      </c>
      <c r="BK33" s="16">
        <f t="shared" ca="1" si="21"/>
        <v>3</v>
      </c>
      <c r="BL33" s="16">
        <f t="shared" ca="1" si="42"/>
        <v>-3</v>
      </c>
      <c r="BM33" s="16" t="str">
        <f t="shared" ca="1" si="22"/>
        <v>4G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P.3 (2)</v>
      </c>
      <c r="CZ33" s="16">
        <f t="shared" ca="1" si="37"/>
        <v>0</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P.3 (2)</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3.004</v>
      </c>
      <c r="DG33" s="16">
        <f ca="1">IF(DB33="-","-",COUNTIFS(DF$6:DF$53,"&lt;"&amp;DF33,$BC$6:$BC$53,INDEX(T_Equipos[Grupo],MATCH(BD33,T_Equipos[NombreEquipo],0))))</f>
        <v>2</v>
      </c>
      <c r="DH33" s="16">
        <f ca="1">DA33+COUNTIFS(DB$6:DB$53,DB33,DG$6:DG$53,"&lt;"&amp;DG33,$BC$6:$BC$53,INDEX(T_Equipos[Grupo],MATCH(BD33,T_Equipos[NombreEquipo],0)))</f>
        <v>3</v>
      </c>
      <c r="DI33" s="16"/>
      <c r="DJ33" s="16">
        <f t="shared" ca="1" si="38"/>
        <v>3</v>
      </c>
      <c r="DK33" s="16">
        <f t="shared" ca="1" si="39"/>
        <v>12</v>
      </c>
      <c r="DL33" s="16">
        <f t="shared" ca="1" si="40"/>
        <v>2</v>
      </c>
      <c r="DM33" s="16" t="str">
        <f t="shared" ca="1" si="46"/>
        <v>3.2</v>
      </c>
      <c r="DN33" s="16" t="e" cm="1" vm="11">
        <f t="array" aca="1" ref="DN33" ca="1">OFFSET(Horarios!$P$3,DJ33-1,0,DL33,1)</f>
        <v>#VALUE!</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2</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7</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53" t="s">
        <v>3</v>
      </c>
      <c r="X36" s="24">
        <f ca="1">Horarios!C36</f>
        <v>46187.541666666664</v>
      </c>
      <c r="Y36" s="25">
        <f ca="1">Horarios!C36</f>
        <v>46187.541666666664</v>
      </c>
      <c r="Z36" s="26" t="str">
        <f>$Z$4</f>
        <v>J1</v>
      </c>
      <c r="AA36" s="27" t="str">
        <f ca="1">A37</f>
        <v>Alemania</v>
      </c>
      <c r="AB36" s="49" t="e" cm="1" vm="18">
        <f t="array" aca="1" ref="AB36" ca="1">Ver_flag_local</f>
        <v>#VALUE!</v>
      </c>
      <c r="AC36" s="50">
        <v>4</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5</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53"/>
      <c r="X37" s="24">
        <f ca="1">Horarios!C37</f>
        <v>46187.791666666664</v>
      </c>
      <c r="Y37" s="25">
        <f ca="1">Horarios!C37</f>
        <v>46187.791666666664</v>
      </c>
      <c r="Z37" s="26" t="str">
        <f>$Z$4</f>
        <v>J1</v>
      </c>
      <c r="AA37" s="27" t="str">
        <f ca="1">A39</f>
        <v>Costa de Marfil</v>
      </c>
      <c r="AB37" s="49" t="e" cm="1" vm="20">
        <f t="array" aca="1" ref="AB37" ca="1">Ver_flag_local</f>
        <v>#VALUE!</v>
      </c>
      <c r="AC37" s="50">
        <v>0</v>
      </c>
      <c r="AD37" s="51">
        <v>2</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53"/>
      <c r="X38" s="24">
        <f ca="1">Horarios!C38</f>
        <v>46193.666666666664</v>
      </c>
      <c r="Y38" s="25">
        <f ca="1">Horarios!C38</f>
        <v>46193.666666666664</v>
      </c>
      <c r="Z38" s="26" t="str">
        <f>$Z$6</f>
        <v>J2</v>
      </c>
      <c r="AA38" s="27" t="str">
        <f ca="1">A37</f>
        <v>Alemania</v>
      </c>
      <c r="AB38" s="49" t="e" cm="1" vm="18">
        <f t="array" aca="1" ref="AB38" ca="1">Ver_flag_local</f>
        <v>#VALUE!</v>
      </c>
      <c r="AC38" s="50">
        <v>2</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8</v>
      </c>
      <c r="AS38" s="36">
        <f t="shared" ca="1" si="127"/>
        <v>3</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3</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53"/>
      <c r="X39" s="24">
        <f ca="1">Horarios!C39</f>
        <v>46193.833333333336</v>
      </c>
      <c r="Y39" s="25">
        <f ca="1">Horarios!C39</f>
        <v>46193.833333333336</v>
      </c>
      <c r="Z39" s="26" t="str">
        <f>$Z$6</f>
        <v>J2</v>
      </c>
      <c r="AA39" s="27" t="str">
        <f ca="1">A40</f>
        <v>Ecuador</v>
      </c>
      <c r="AB39" s="49" t="e" cm="1" vm="21">
        <f t="array" aca="1" ref="AB39" ca="1">Ver_flag_local</f>
        <v>#VALUE!</v>
      </c>
      <c r="AC39" s="50">
        <v>2</v>
      </c>
      <c r="AD39" s="51">
        <v>0</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6</v>
      </c>
      <c r="AS39" s="39">
        <f t="shared" ca="1" si="127"/>
        <v>2</v>
      </c>
      <c r="AT39" s="43">
        <f t="shared" ca="1" si="127"/>
        <v>4</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5</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2</v>
      </c>
      <c r="CB39" s="16">
        <f t="shared" ca="1" si="28"/>
        <v>2</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2</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2</v>
      </c>
      <c r="CP39" s="16">
        <f t="shared" ca="1" si="34"/>
        <v>2</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2</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46198.666666666664</v>
      </c>
      <c r="Y40" s="25">
        <f ca="1">Horarios!C40</f>
        <v>46198.666666666664</v>
      </c>
      <c r="Z40" s="26" t="str">
        <f>$Z$8</f>
        <v>J3</v>
      </c>
      <c r="AA40" s="27" t="str">
        <f ca="1">A38</f>
        <v>Curazao</v>
      </c>
      <c r="AB40" s="49" t="e" cm="1" vm="19">
        <f t="array" aca="1" ref="AB40" ca="1">Ver_flag_local</f>
        <v>#VALUE!</v>
      </c>
      <c r="AC40" s="50">
        <v>1</v>
      </c>
      <c r="AD40" s="51">
        <v>3</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5</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6</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54"/>
      <c r="X41" s="28">
        <f ca="1">Horarios!C41</f>
        <v>46198.666666666664</v>
      </c>
      <c r="Y41" s="29">
        <f ca="1">Horarios!C41</f>
        <v>46198.666666666664</v>
      </c>
      <c r="Z41" s="30" t="str">
        <f>$Z$8</f>
        <v>J3</v>
      </c>
      <c r="AA41" s="31" t="str">
        <f ca="1">A40</f>
        <v>Ecuador</v>
      </c>
      <c r="AB41" s="52" t="e" cm="1" vm="21">
        <f t="array" aca="1" ref="AB41" ca="1">Ver_flag_local</f>
        <v>#VALUE!</v>
      </c>
      <c r="AC41" s="53">
        <v>2</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7</v>
      </c>
      <c r="BK41" s="16">
        <f t="shared" ca="1" si="21"/>
        <v>5</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2</v>
      </c>
      <c r="CB41" s="16">
        <f t="shared" ca="1" si="28"/>
        <v>2</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2</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2</v>
      </c>
      <c r="CP41" s="16">
        <f t="shared" ca="1" si="34"/>
        <v>2</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2</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2</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6</v>
      </c>
      <c r="BF42" s="16">
        <f t="shared" ca="1" si="41"/>
        <v>3</v>
      </c>
      <c r="BG42" s="16">
        <f t="shared" ca="1" si="17"/>
        <v>2</v>
      </c>
      <c r="BH42" s="16">
        <f t="shared" ca="1" si="18"/>
        <v>0</v>
      </c>
      <c r="BI42" s="16">
        <f t="shared" ca="1" si="19"/>
        <v>1</v>
      </c>
      <c r="BJ42" s="16">
        <f t="shared" ca="1" si="20"/>
        <v>6</v>
      </c>
      <c r="BK42" s="16">
        <f t="shared" ca="1" si="21"/>
        <v>2</v>
      </c>
      <c r="BL42" s="16">
        <f t="shared" ca="1" si="42"/>
        <v>4</v>
      </c>
      <c r="BM42" s="16" t="str">
        <f t="shared" ca="1" si="22"/>
        <v>2J</v>
      </c>
      <c r="BN42" s="16" t="str">
        <f t="shared" ca="1" si="23"/>
        <v>2J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6</v>
      </c>
      <c r="BS42" s="16">
        <f ca="1">BP42+COUNTIFS($BQ$6:$BQ$53,BQ42,$BR$6:BR$53,"&gt;"&amp;BR42,$BC$6:$BC$53,INDEX(T_Equipos[Grupo],MATCH(BD42,T_Equipos[NombreEquipo],0)))</f>
        <v>2</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2</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2</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2</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2</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2</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2</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2</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2</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2</v>
      </c>
      <c r="DE42" s="16"/>
      <c r="DF42" s="16">
        <f t="shared" ca="1" si="52"/>
        <v>2</v>
      </c>
      <c r="DG42" s="16" t="str">
        <f ca="1">IF(DB42="-","-",COUNTIFS(DF$6:DF$53,"&lt;"&amp;DF42,$BC$6:$BC$53,INDEX(T_Equipos[Grupo],MATCH(BD42,T_Equipos[NombreEquipo],0))))</f>
        <v>-</v>
      </c>
      <c r="DH42" s="16">
        <f ca="1">DA42+COUNTIFS(DB$6:DB$53,DB42,DG$6:DG$53,"&lt;"&amp;DG42,$BC$6:$BC$53,INDEX(T_Equipos[Grupo],MATCH(BD42,T_Equipos[NombreEquipo],0)))</f>
        <v>2</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Austria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0</v>
      </c>
      <c r="BK43" s="16">
        <f t="shared" ca="1" si="21"/>
        <v>3</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0</v>
      </c>
      <c r="CB43" s="16">
        <f t="shared" ca="1" si="28"/>
        <v>0</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0</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0</v>
      </c>
      <c r="CP43" s="16">
        <f t="shared" ca="1" si="34"/>
        <v>0</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0</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-3</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Argentina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63" t="s">
        <v>4</v>
      </c>
      <c r="X44" s="24">
        <f ca="1">Horarios!C44</f>
        <v>46187.666666666664</v>
      </c>
      <c r="Y44" s="25">
        <f ca="1">Horarios!C44</f>
        <v>46187.666666666664</v>
      </c>
      <c r="Z44" s="26" t="str">
        <f>$Z$4</f>
        <v>J1</v>
      </c>
      <c r="AA44" s="27" t="str">
        <f ca="1">A45</f>
        <v>Países Bajos</v>
      </c>
      <c r="AB44" s="49" t="e" cm="1" vm="22">
        <f t="array" aca="1" ref="AB44" ca="1">Ver_flag_local</f>
        <v>#VALUE!</v>
      </c>
      <c r="AC44" s="50">
        <v>2</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9</v>
      </c>
      <c r="BF44" s="16">
        <f t="shared" ca="1" si="41"/>
        <v>3</v>
      </c>
      <c r="BG44" s="16">
        <f t="shared" ca="1" si="17"/>
        <v>3</v>
      </c>
      <c r="BH44" s="16">
        <f t="shared" ca="1" si="18"/>
        <v>0</v>
      </c>
      <c r="BI44" s="16">
        <f t="shared" ca="1" si="19"/>
        <v>0</v>
      </c>
      <c r="BJ44" s="16">
        <f t="shared" ca="1" si="20"/>
        <v>6</v>
      </c>
      <c r="BK44" s="16">
        <f t="shared" ca="1" si="21"/>
        <v>1</v>
      </c>
      <c r="BL44" s="16">
        <f t="shared" ca="1" si="42"/>
        <v>5</v>
      </c>
      <c r="BM44" s="16" t="str">
        <f t="shared" ca="1" si="22"/>
        <v>1J</v>
      </c>
      <c r="BN44" s="16" t="str">
        <f t="shared" ca="1" si="23"/>
        <v>1J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9</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1</v>
      </c>
      <c r="DE44" s="16"/>
      <c r="DF44" s="16">
        <f t="shared" ca="1" si="52"/>
        <v>1</v>
      </c>
      <c r="DG44" s="16" t="str">
        <f ca="1">IF(DB44="-","-",COUNTIFS(DF$6:DF$53,"&lt;"&amp;DF44,$BC$6:$BC$53,INDEX(T_Equipos[Grupo],MATCH(BD44,T_Equipos[NombreEquipo],0))))</f>
        <v>-</v>
      </c>
      <c r="DH44" s="16">
        <f ca="1">DA44+COUNTIFS(DB$6:DB$53,DB44,DG$6:DG$53,"&lt;"&amp;DG44,$BC$6:$BC$53,INDEX(T_Equipos[Grupo],MATCH(BD44,T_Equipos[NombreEquipo],0)))</f>
        <v>1</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63"/>
      <c r="X45" s="24">
        <f ca="1">Horarios!C45</f>
        <v>46187.916666666664</v>
      </c>
      <c r="Y45" s="25">
        <f ca="1">Horarios!C45</f>
        <v>46187.916666666664</v>
      </c>
      <c r="Z45" s="26" t="str">
        <f>$Z$4</f>
        <v>J1</v>
      </c>
      <c r="AA45" s="27" t="str">
        <f ca="1">A47</f>
        <v>Suecia</v>
      </c>
      <c r="AB45" s="49" t="e" cm="1" vm="24">
        <f t="array" aca="1" ref="AB45" ca="1">Ver_flag_local</f>
        <v>#VALUE!</v>
      </c>
      <c r="AC45" s="50">
        <v>3</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6</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0</v>
      </c>
      <c r="CB45" s="16">
        <f t="shared" ca="1" si="28"/>
        <v>0</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0</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0</v>
      </c>
      <c r="CP45" s="16">
        <f t="shared" ca="1" si="34"/>
        <v>0</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0</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-6</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63"/>
      <c r="X46" s="24">
        <f ca="1">Horarios!C46</f>
        <v>46193.541666666664</v>
      </c>
      <c r="Y46" s="25">
        <f ca="1">Horarios!C46</f>
        <v>46193.541666666664</v>
      </c>
      <c r="Z46" s="26" t="str">
        <f>$Z$6</f>
        <v>J2</v>
      </c>
      <c r="AA46" s="27" t="str">
        <f ca="1">A45</f>
        <v>Países Bajos</v>
      </c>
      <c r="AB46" s="49" t="e" cm="1" vm="22">
        <f t="array" aca="1" ref="AB46" ca="1">Ver_flag_local</f>
        <v>#VALUE!</v>
      </c>
      <c r="AC46" s="50">
        <v>1</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1</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1</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v>
      </c>
      <c r="Y47" s="25">
        <f ca="1">Horarios!C47</f>
        <v>46194</v>
      </c>
      <c r="Z47" s="26" t="str">
        <f>$Z$6</f>
        <v>J2</v>
      </c>
      <c r="AA47" s="27" t="str">
        <f ca="1">A48</f>
        <v>Túnez</v>
      </c>
      <c r="AB47" s="49" t="e" cm="1" vm="25">
        <f t="array" aca="1" ref="AB47" ca="1">Ver_flag_local</f>
        <v>#VALUE!</v>
      </c>
      <c r="AC47" s="50">
        <v>0</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6</v>
      </c>
      <c r="AN47" s="39">
        <f t="shared" ca="1" si="147"/>
        <v>3</v>
      </c>
      <c r="AO47" s="39">
        <f t="shared" ca="1" si="147"/>
        <v>2</v>
      </c>
      <c r="AP47" s="39">
        <f t="shared" ca="1" si="147"/>
        <v>0</v>
      </c>
      <c r="AQ47" s="39">
        <f t="shared" ca="1" si="147"/>
        <v>1</v>
      </c>
      <c r="AR47" s="39">
        <f t="shared" ca="1" si="147"/>
        <v>4</v>
      </c>
      <c r="AS47" s="39">
        <f t="shared" ca="1" si="147"/>
        <v>2</v>
      </c>
      <c r="AT47" s="43">
        <f t="shared" ca="1" si="147"/>
        <v>2</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5</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63"/>
      <c r="X48" s="24">
        <f ca="1">Horarios!C48</f>
        <v>46198.791666666664</v>
      </c>
      <c r="Y48" s="25">
        <f ca="1">Horarios!C48</f>
        <v>46198.791666666664</v>
      </c>
      <c r="Z48" s="26" t="str">
        <f>$Z$8</f>
        <v>J3</v>
      </c>
      <c r="AA48" s="27" t="str">
        <f ca="1">A46</f>
        <v>Japón</v>
      </c>
      <c r="AB48" s="49" t="e" cm="1" vm="23">
        <f t="array" aca="1" ref="AB48" ca="1">Ver_flag_local</f>
        <v>#VALUE!</v>
      </c>
      <c r="AC48" s="50">
        <v>1</v>
      </c>
      <c r="AD48" s="51">
        <v>0</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2</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1</v>
      </c>
      <c r="BK48" s="16">
        <f t="shared" ca="1" si="21"/>
        <v>4</v>
      </c>
      <c r="BL48" s="16">
        <f t="shared" ca="1" si="42"/>
        <v>-3</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64"/>
      <c r="X49" s="28">
        <f ca="1">Horarios!C49</f>
        <v>46198.791666666664</v>
      </c>
      <c r="Y49" s="29">
        <f ca="1">Horarios!C49</f>
        <v>46198.791666666664</v>
      </c>
      <c r="Z49" s="30" t="str">
        <f>$Z$8</f>
        <v>J3</v>
      </c>
      <c r="AA49" s="31" t="str">
        <f ca="1">A48</f>
        <v>Túnez</v>
      </c>
      <c r="AB49" s="52" t="e" cm="1" vm="25">
        <f t="array" aca="1" ref="AB49" ca="1">Ver_flag_local</f>
        <v>#VALUE!</v>
      </c>
      <c r="AC49" s="53">
        <v>0</v>
      </c>
      <c r="AD49" s="54">
        <v>3</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8</v>
      </c>
      <c r="AT49" s="48">
        <f t="shared" ca="1" si="147"/>
        <v>-8</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RD Congo</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6</v>
      </c>
      <c r="BF50" s="16">
        <f t="shared" ca="1" si="41"/>
        <v>3</v>
      </c>
      <c r="BG50" s="16">
        <f t="shared" ca="1" si="17"/>
        <v>2</v>
      </c>
      <c r="BH50" s="16">
        <f t="shared" ca="1" si="18"/>
        <v>0</v>
      </c>
      <c r="BI50" s="16">
        <f t="shared" ca="1" si="19"/>
        <v>1</v>
      </c>
      <c r="BJ50" s="16">
        <f t="shared" ca="1" si="20"/>
        <v>5</v>
      </c>
      <c r="BK50" s="16">
        <f t="shared" ca="1" si="21"/>
        <v>2</v>
      </c>
      <c r="BL50" s="16">
        <f t="shared" ca="1" si="42"/>
        <v>3</v>
      </c>
      <c r="BM50" s="16" t="str">
        <f t="shared" ca="1" si="22"/>
        <v>2L</v>
      </c>
      <c r="BN50" s="16" t="str">
        <f t="shared" ca="1" si="23"/>
        <v>2L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6</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(3)</v>
      </c>
      <c r="BU50" s="16">
        <f t="shared" ca="1" si="24"/>
        <v>1</v>
      </c>
      <c r="BV50" s="16">
        <f t="shared" ca="1" si="25"/>
        <v>0</v>
      </c>
      <c r="BW50" s="16">
        <f t="shared" ca="1" si="26"/>
        <v>1</v>
      </c>
      <c r="BX50" s="16">
        <f t="shared" ca="1" si="48"/>
        <v>3</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(3)</v>
      </c>
      <c r="CA50" s="16">
        <f t="shared" ca="1" si="27"/>
        <v>2</v>
      </c>
      <c r="CB50" s="16">
        <f t="shared" ca="1" si="28"/>
        <v>2</v>
      </c>
      <c r="CC50" s="16">
        <f t="shared" ca="1" si="49"/>
        <v>0</v>
      </c>
      <c r="CD50" s="16">
        <f ca="1">BY50+COUNTIFS($BZ$6:$BZ$53,BZ50,$CC$6:CC$53,"&gt;"&amp;CC50,$BC$6:$BC$53,INDEX(T_Equipos[Grupo],MATCH(BD50,T_Equipos[NombreEquipo],0)))</f>
        <v>2</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2</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2</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2</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2</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2</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52"/>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Croacia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2</v>
      </c>
      <c r="BL51" s="16">
        <f t="shared" ca="1" si="42"/>
        <v>4</v>
      </c>
      <c r="BM51" s="16" t="str">
        <f t="shared" ca="1" si="22"/>
        <v>1L</v>
      </c>
      <c r="BN51" s="16" t="str">
        <f t="shared" ca="1" si="23"/>
        <v>1L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(3)</v>
      </c>
      <c r="BU51" s="16">
        <f t="shared" ca="1" si="24"/>
        <v>1</v>
      </c>
      <c r="BV51" s="16">
        <f t="shared" ca="1" si="25"/>
        <v>0</v>
      </c>
      <c r="BW51" s="16">
        <f t="shared" ca="1" si="26"/>
        <v>1</v>
      </c>
      <c r="BX51" s="16">
        <f t="shared" ca="1" si="48"/>
        <v>3</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(3)</v>
      </c>
      <c r="CA51" s="16">
        <f t="shared" ca="1" si="27"/>
        <v>3</v>
      </c>
      <c r="CB51" s="16">
        <f t="shared" ca="1" si="28"/>
        <v>2</v>
      </c>
      <c r="CC51" s="16">
        <f t="shared" ca="1" si="49"/>
        <v>1</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52"/>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Inglaterra</v>
      </c>
    </row>
    <row r="52" spans="1:121" ht="15.9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83" t="s">
        <v>6</v>
      </c>
      <c r="X52" s="24">
        <f ca="1">Horarios!C52</f>
        <v>46188.625</v>
      </c>
      <c r="Y52" s="25">
        <f ca="1">Horarios!C52</f>
        <v>46188.625</v>
      </c>
      <c r="Z52" s="26" t="str">
        <f>$Z$4</f>
        <v>J1</v>
      </c>
      <c r="AA52" s="27" t="str">
        <f ca="1">A53</f>
        <v>Bélgica</v>
      </c>
      <c r="AB52" s="49" t="e" cm="1" vm="26">
        <f t="array" aca="1" ref="AB52" ca="1">Ver_flag_local</f>
        <v>#VALUE!</v>
      </c>
      <c r="AC52" s="50">
        <v>1</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6</v>
      </c>
      <c r="BF52" s="16">
        <f t="shared" ca="1" si="41"/>
        <v>3</v>
      </c>
      <c r="BG52" s="16">
        <f t="shared" ca="1" si="17"/>
        <v>2</v>
      </c>
      <c r="BH52" s="16">
        <f t="shared" ca="1" si="18"/>
        <v>0</v>
      </c>
      <c r="BI52" s="16">
        <f t="shared" ca="1" si="19"/>
        <v>1</v>
      </c>
      <c r="BJ52" s="16">
        <f t="shared" ca="1" si="20"/>
        <v>3</v>
      </c>
      <c r="BK52" s="16">
        <f t="shared" ca="1" si="21"/>
        <v>2</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6</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(3)</v>
      </c>
      <c r="BU52" s="16">
        <f t="shared" ca="1" si="24"/>
        <v>1</v>
      </c>
      <c r="BV52" s="16">
        <f t="shared" ca="1" si="25"/>
        <v>0</v>
      </c>
      <c r="BW52" s="16">
        <f t="shared" ca="1" si="26"/>
        <v>1</v>
      </c>
      <c r="BX52" s="16">
        <f t="shared" ca="1" si="48"/>
        <v>3</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(3)</v>
      </c>
      <c r="CA52" s="16">
        <f t="shared" ca="1" si="27"/>
        <v>1</v>
      </c>
      <c r="CB52" s="16">
        <f t="shared" ca="1" si="28"/>
        <v>2</v>
      </c>
      <c r="CC52" s="16">
        <f t="shared" ca="1" si="49"/>
        <v>-1</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83"/>
      <c r="X53" s="24">
        <f ca="1">Horarios!C53</f>
        <v>46188.875</v>
      </c>
      <c r="Y53" s="25">
        <f ca="1">Horarios!C53</f>
        <v>46188.875</v>
      </c>
      <c r="Z53" s="26" t="str">
        <f>$Z$4</f>
        <v>J1</v>
      </c>
      <c r="AA53" s="27" t="str">
        <f ca="1">A55</f>
        <v>Irán</v>
      </c>
      <c r="AB53" s="49" t="e" cm="1" vm="28">
        <f t="array" aca="1" ref="AB53" ca="1">Ver_flag_local</f>
        <v>#VALUE!</v>
      </c>
      <c r="AC53" s="50">
        <v>0</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8</v>
      </c>
      <c r="BL53" s="16">
        <f t="shared" ca="1" si="42"/>
        <v>-8</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P.1 (2)</v>
      </c>
      <c r="F54" s="16" t="str">
        <f t="shared" ca="1" si="151"/>
        <v>P.3 (2)</v>
      </c>
      <c r="G54" s="16"/>
      <c r="H54" s="16" t="str">
        <f t="shared" ca="1" si="152"/>
        <v>P.1 (2)</v>
      </c>
      <c r="I54" s="16" t="str">
        <f t="shared" ca="1" si="153"/>
        <v>P.3 (2)</v>
      </c>
      <c r="J54" s="16"/>
      <c r="K54" s="16" t="str">
        <f t="shared" ca="1" si="154"/>
        <v>P.1 (2)</v>
      </c>
      <c r="L54" s="16" t="str">
        <f t="shared" ca="1" si="155"/>
        <v>P.3 (2)</v>
      </c>
      <c r="M54" s="16"/>
      <c r="N54" s="16" t="str">
        <f t="shared" ca="1" si="156"/>
        <v>P.1 (2)</v>
      </c>
      <c r="O54" s="16" t="str">
        <f t="shared" ca="1" si="157"/>
        <v>P.3 (2)</v>
      </c>
      <c r="P54" s="16"/>
      <c r="Q54" s="16" t="str">
        <f t="shared" ca="1" si="158"/>
        <v>P.1 (2)</v>
      </c>
      <c r="R54" s="16" t="str">
        <f t="shared" ca="1" si="159"/>
        <v>P.3 (2)</v>
      </c>
      <c r="S54" s="16"/>
      <c r="T54" s="16" t="str">
        <f t="shared" ca="1" si="160"/>
        <v>P.1 (2)</v>
      </c>
      <c r="U54" s="16" t="str">
        <f t="shared" ca="1" si="161"/>
        <v>P.3 (2)</v>
      </c>
      <c r="V54" s="17"/>
      <c r="W54" s="683"/>
      <c r="X54" s="24">
        <f ca="1">Horarios!C54</f>
        <v>46194.625</v>
      </c>
      <c r="Y54" s="25">
        <f ca="1">Horarios!C54</f>
        <v>46194.625</v>
      </c>
      <c r="Z54" s="26" t="str">
        <f>$Z$6</f>
        <v>J2</v>
      </c>
      <c r="AA54" s="27" t="str">
        <f ca="1">A53</f>
        <v>Bélgica</v>
      </c>
      <c r="AB54" s="49" t="e" cm="1" vm="26">
        <f t="array" aca="1" ref="AB54" ca="1">Ver_flag_local</f>
        <v>#VALUE!</v>
      </c>
      <c r="AC54" s="50">
        <v>2</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1</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P.3 (2)</v>
      </c>
      <c r="F55" s="16" t="str">
        <f t="shared" ca="1" si="151"/>
        <v>P.1 (2)</v>
      </c>
      <c r="G55" s="16"/>
      <c r="H55" s="16" t="str">
        <f t="shared" ca="1" si="152"/>
        <v>P.3 (2)</v>
      </c>
      <c r="I55" s="16" t="str">
        <f t="shared" ca="1" si="153"/>
        <v>P.1 (2)</v>
      </c>
      <c r="J55" s="16"/>
      <c r="K55" s="16" t="str">
        <f t="shared" ca="1" si="154"/>
        <v>P.3 (2)</v>
      </c>
      <c r="L55" s="16" t="str">
        <f t="shared" ca="1" si="155"/>
        <v>P.1 (2)</v>
      </c>
      <c r="M55" s="16"/>
      <c r="N55" s="16" t="str">
        <f t="shared" ca="1" si="156"/>
        <v>P.3 (2)</v>
      </c>
      <c r="O55" s="16" t="str">
        <f t="shared" ca="1" si="157"/>
        <v>P.1 (2)</v>
      </c>
      <c r="P55" s="16"/>
      <c r="Q55" s="16" t="str">
        <f t="shared" ca="1" si="158"/>
        <v>P.3 (2)</v>
      </c>
      <c r="R55" s="16" t="str">
        <f t="shared" ca="1" si="159"/>
        <v>P.1 (2)</v>
      </c>
      <c r="S55" s="16"/>
      <c r="T55" s="16" t="str">
        <f t="shared" ca="1" si="160"/>
        <v>P.3 (2)</v>
      </c>
      <c r="U55" s="16" t="str">
        <f t="shared" ca="1" si="161"/>
        <v>P.1 (2)</v>
      </c>
      <c r="V55" s="17"/>
      <c r="W55" s="683"/>
      <c r="X55" s="24">
        <f ca="1">Horarios!C55</f>
        <v>46194.875</v>
      </c>
      <c r="Y55" s="25">
        <f ca="1">Horarios!C55</f>
        <v>46194.875</v>
      </c>
      <c r="Z55" s="26" t="str">
        <f>$Z$6</f>
        <v>J2</v>
      </c>
      <c r="AA55" s="27" t="str">
        <f ca="1">A56</f>
        <v>Nueva Zelanda</v>
      </c>
      <c r="AB55" s="49" t="e" cm="1" vm="29">
        <f t="array" aca="1" ref="AB55" ca="1">Ver_flag_local</f>
        <v>#VALUE!</v>
      </c>
      <c r="AC55" s="50">
        <v>0</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7</v>
      </c>
      <c r="AN55" s="39">
        <f t="shared" ca="1" si="165"/>
        <v>3</v>
      </c>
      <c r="AO55" s="39">
        <f t="shared" ca="1" si="165"/>
        <v>2</v>
      </c>
      <c r="AP55" s="39">
        <f t="shared" ca="1" si="165"/>
        <v>1</v>
      </c>
      <c r="AQ55" s="39">
        <f t="shared" ca="1" si="165"/>
        <v>0</v>
      </c>
      <c r="AR55" s="39">
        <f t="shared" ca="1" si="165"/>
        <v>3</v>
      </c>
      <c r="AS55" s="39">
        <f t="shared" ca="1" si="165"/>
        <v>1</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Local</v>
      </c>
      <c r="E56" s="16" t="str">
        <f t="shared" ca="1" si="150"/>
        <v>P.1 (2)</v>
      </c>
      <c r="F56" s="16" t="str">
        <f t="shared" ca="1" si="151"/>
        <v>P.3 (2)</v>
      </c>
      <c r="G56" s="16"/>
      <c r="H56" s="16" t="str">
        <f t="shared" ca="1" si="152"/>
        <v>P.1 (2)</v>
      </c>
      <c r="I56" s="16" t="str">
        <f t="shared" ca="1" si="153"/>
        <v>P.3 (2)</v>
      </c>
      <c r="J56" s="16"/>
      <c r="K56" s="16" t="str">
        <f t="shared" ca="1" si="154"/>
        <v>P.1 (2)</v>
      </c>
      <c r="L56" s="16" t="str">
        <f t="shared" ca="1" si="155"/>
        <v>P.3 (2)</v>
      </c>
      <c r="M56" s="16"/>
      <c r="N56" s="16" t="str">
        <f t="shared" ca="1" si="156"/>
        <v>P.1 (2)</v>
      </c>
      <c r="O56" s="16" t="str">
        <f t="shared" ca="1" si="157"/>
        <v>P.3 (2)</v>
      </c>
      <c r="P56" s="16"/>
      <c r="Q56" s="16" t="str">
        <f t="shared" ca="1" si="158"/>
        <v>P.1 (2)</v>
      </c>
      <c r="R56" s="16" t="str">
        <f t="shared" ca="1" si="159"/>
        <v>P.3 (2)</v>
      </c>
      <c r="S56" s="16"/>
      <c r="T56" s="16" t="str">
        <f t="shared" ca="1" si="160"/>
        <v>P.1 (2)</v>
      </c>
      <c r="U56" s="16" t="str">
        <f t="shared" ca="1" si="161"/>
        <v>P.3 (2)</v>
      </c>
      <c r="V56" s="17"/>
      <c r="W56" s="683"/>
      <c r="X56" s="24">
        <f ca="1">Horarios!C56</f>
        <v>46199.958333333336</v>
      </c>
      <c r="Y56" s="25">
        <f ca="1">Horarios!C56</f>
        <v>46199.958333333336</v>
      </c>
      <c r="Z56" s="26" t="str">
        <f>$Z$8</f>
        <v>J3</v>
      </c>
      <c r="AA56" s="27" t="str">
        <f ca="1">A54</f>
        <v>Egipto</v>
      </c>
      <c r="AB56" s="49" t="e" cm="1" vm="27">
        <f t="array" aca="1" ref="AB56" ca="1">Ver_flag_local</f>
        <v>#VALUE!</v>
      </c>
      <c r="AC56" s="50">
        <v>1</v>
      </c>
      <c r="AD56" s="51">
        <v>0</v>
      </c>
      <c r="AE56" s="595" t="e" cm="1" vm="28">
        <f t="array" aca="1" ref="AE56" ca="1">Ver_flag_visit</f>
        <v>#VALUE!</v>
      </c>
      <c r="AF56" s="32" t="str">
        <f ca="1">A55</f>
        <v>Irán</v>
      </c>
      <c r="AG56" s="323">
        <f t="shared" si="162"/>
        <v>1</v>
      </c>
      <c r="AH56" s="195">
        <v>63</v>
      </c>
      <c r="AI56" s="181" t="str">
        <f t="shared" si="166"/>
        <v>3G</v>
      </c>
      <c r="AJ56" s="42">
        <v>3</v>
      </c>
      <c r="AK56" s="602" t="e" cm="1" vm="29">
        <f t="array" aca="1" ref="AK56" ca="1">Ver_flag_visit</f>
        <v>#VALUE!</v>
      </c>
      <c r="AL56" s="37" t="str">
        <f ca="1">IFERROR(INDEX($BD$6:$BD$53,MATCH(AI56,$BN$6:$BN$53,0)),"")</f>
        <v>Nueva Zelanda</v>
      </c>
      <c r="AM56" s="38">
        <f t="shared" ca="1" si="165"/>
        <v>1</v>
      </c>
      <c r="AN56" s="39">
        <f t="shared" ca="1" si="165"/>
        <v>3</v>
      </c>
      <c r="AO56" s="39">
        <f t="shared" ca="1" si="165"/>
        <v>0</v>
      </c>
      <c r="AP56" s="39">
        <f t="shared" ca="1" si="165"/>
        <v>1</v>
      </c>
      <c r="AQ56" s="39">
        <f t="shared" ca="1" si="165"/>
        <v>2</v>
      </c>
      <c r="AR56" s="39">
        <f t="shared" ca="1" si="165"/>
        <v>0</v>
      </c>
      <c r="AS56" s="39">
        <f t="shared" ca="1" si="165"/>
        <v>3</v>
      </c>
      <c r="AT56" s="43">
        <f t="shared" ca="1" si="165"/>
        <v>-3</v>
      </c>
      <c r="AU56" s="330">
        <f ca="1">INDEX($DL$6:$DL$53,MATCH(AI56,$DP$6:$DP$53,0))</f>
        <v>2</v>
      </c>
      <c r="AV56" s="182" t="str">
        <f ca="1">INDEX($BD$6:$BD$53,MATCH(AI56,$BM$6:$BM$53,0))</f>
        <v>Irán</v>
      </c>
      <c r="AW56" s="210">
        <v>4</v>
      </c>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P.3 (2)</v>
      </c>
      <c r="F57" s="16" t="str">
        <f t="shared" ca="1" si="151"/>
        <v>P.1 (2)</v>
      </c>
      <c r="G57" s="16"/>
      <c r="H57" s="16" t="str">
        <f t="shared" ca="1" si="152"/>
        <v>P.3 (2)</v>
      </c>
      <c r="I57" s="16" t="str">
        <f t="shared" ca="1" si="153"/>
        <v>P.1 (2)</v>
      </c>
      <c r="J57" s="16"/>
      <c r="K57" s="16" t="str">
        <f t="shared" ca="1" si="154"/>
        <v>P.3 (2)</v>
      </c>
      <c r="L57" s="16" t="str">
        <f t="shared" ca="1" si="155"/>
        <v>P.1 (2)</v>
      </c>
      <c r="M57" s="16"/>
      <c r="N57" s="16" t="str">
        <f t="shared" ca="1" si="156"/>
        <v>P.3 (2)</v>
      </c>
      <c r="O57" s="16" t="str">
        <f t="shared" ca="1" si="157"/>
        <v>P.1 (2)</v>
      </c>
      <c r="P57" s="16"/>
      <c r="Q57" s="16" t="str">
        <f t="shared" ca="1" si="158"/>
        <v>P.3 (2)</v>
      </c>
      <c r="R57" s="16" t="str">
        <f t="shared" ca="1" si="159"/>
        <v>P.1 (2)</v>
      </c>
      <c r="S57" s="16"/>
      <c r="T57" s="16" t="str">
        <f t="shared" ca="1" si="160"/>
        <v>P.3 (2)</v>
      </c>
      <c r="U57" s="16" t="str">
        <f t="shared" ca="1" si="161"/>
        <v>P.1 (2)</v>
      </c>
      <c r="V57" s="17"/>
      <c r="W57" s="684"/>
      <c r="X57" s="28">
        <f ca="1">Horarios!C57</f>
        <v>46199.958333333336</v>
      </c>
      <c r="Y57" s="29">
        <f ca="1">Horarios!C57</f>
        <v>46199.958333333336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0</v>
      </c>
      <c r="AS57" s="47">
        <f t="shared" ca="1" si="165"/>
        <v>3</v>
      </c>
      <c r="AT57" s="48">
        <f t="shared" ca="1" si="165"/>
        <v>-3</v>
      </c>
      <c r="AU57" s="330">
        <f ca="1">INDEX($DL$6:$DL$53,MATCH(AI57,$DP$6:$DP$53,0))</f>
        <v>2</v>
      </c>
      <c r="AV57" s="182" t="str">
        <f ca="1">INDEX($BD$6:$BD$53,MATCH(AI57,$BM$6:$BM$53,0))</f>
        <v>Nueva Zelanda</v>
      </c>
      <c r="AW57" s="210">
        <v>3</v>
      </c>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1</v>
      </c>
      <c r="BL58" s="16">
        <f ca="1">+BJ58-BK58</f>
        <v>2</v>
      </c>
      <c r="BM58" s="16">
        <f ca="1">CB58</f>
        <v>2</v>
      </c>
      <c r="BN58" s="16">
        <f ca="1">CF58</f>
        <v>2</v>
      </c>
      <c r="BO58" s="16" t="str">
        <f t="shared" ref="BO58:BO69" si="174">"4"&amp;BC58</f>
        <v>4A</v>
      </c>
      <c r="BP58" s="16"/>
      <c r="BQ58" s="16"/>
      <c r="BR58" s="16">
        <f t="shared" ref="BR58:BR69" ca="1" si="175">+BE58</f>
        <v>4</v>
      </c>
      <c r="BS58" s="16">
        <f ca="1">COUNTIFS(BR$58:BR$69,"&gt;"&amp;BR58)+1</f>
        <v>2</v>
      </c>
      <c r="BT58" s="16" t="str">
        <f ca="1">IF(COUNTIF(BS$58:BS$69,BS58)=1,"-","Pos. "&amp;BS58&amp;" ("&amp;COUNTIF(BS$58:BS$69,BS58)&amp;")")</f>
        <v>Pos. 2 (2)</v>
      </c>
      <c r="BU58" s="16">
        <f t="shared" ref="BU58:BU69" ca="1" si="176">IF(BT58="-","-",BL58)</f>
        <v>2</v>
      </c>
      <c r="BV58" s="16">
        <f t="shared" ref="BV58:BV69" ca="1" si="177">BS58+COUNTIFS(BT$58:BT$69,BT58,BU$58:BU$69,"&gt;"&amp;BU58)</f>
        <v>2</v>
      </c>
      <c r="BW58" s="16" t="str">
        <f t="shared" ref="BW58:BW69" ca="1" si="178">IF(COUNTIF(BV$58:BV$69,BV58)=1,"-","Pos. "&amp;BV58&amp;" ("&amp;COUNTIF(BV$58:BV$69,BV58)&amp;")")</f>
        <v>-</v>
      </c>
      <c r="BX58" s="16" t="str">
        <f t="shared" ref="BX58:BX69" ca="1" si="179">IF(BW58="-","-",BJ58)</f>
        <v>-</v>
      </c>
      <c r="BY58" s="16">
        <f t="shared" ref="BY58:BY69" ca="1" si="180">BV58+COUNTIFS(BW$58:BW$69,BW58,BX$58:BX$69,"&gt;"&amp;BX58)</f>
        <v>2</v>
      </c>
      <c r="BZ58" s="16" t="str">
        <f t="shared" ref="BZ58:BZ69" ca="1" si="181">IF(COUNTIF(BY$58:BY$69,BY58)=1,"-","Pos. "&amp;BY58&amp;" ("&amp;COUNTIF(BY$58:BY$69,BY58)&amp;")")</f>
        <v>-</v>
      </c>
      <c r="CA58" s="16" t="str">
        <f t="shared" ref="CA58:CA69" ca="1" si="182">IF(BZ58="-","-",COUNTIF($BD$58:$BD$69,"&gt;"&amp;BD58))</f>
        <v>-</v>
      </c>
      <c r="CB58" s="16">
        <f ca="1">BY58+COUNTIFS(BZ$58:BZ$69,BZ58,CA$58:CA$69,"&gt;"&amp;CA58)</f>
        <v>2</v>
      </c>
      <c r="CC58" s="16"/>
      <c r="CD58" s="16">
        <f t="shared" ref="CD58:CD69" ca="1" si="183">IF(OR(INDEX($AW$102:$AW$113,MATCH($BD58,$AV$102:$AV$113,0))="",BZ58="-"),CB58,INDEX($AW$102:$AW$113,MATCH($BD58,$AV$102:$AV$113,0))+CB58/1000)</f>
        <v>2</v>
      </c>
      <c r="CE58" s="16" t="str">
        <f ca="1">IF(BZ58="-","-",COUNTIF(CD$58:CD$69,"&lt;"&amp;CD58))</f>
        <v>-</v>
      </c>
      <c r="CF58" s="16">
        <f ca="1">BY58+COUNTIFS(BZ$58:BZ$69,BZ58,CE$58:CE$69,"&lt;"&amp;CE58)</f>
        <v>2</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Ghana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4</v>
      </c>
      <c r="BL59" s="16">
        <f t="shared" ref="BL59:BL69" ca="1" si="190">+BJ59-BK59</f>
        <v>-2</v>
      </c>
      <c r="BM59" s="16">
        <f t="shared" ref="BM59:BM69" ca="1" si="191">CB59</f>
        <v>7</v>
      </c>
      <c r="BN59" s="16">
        <f t="shared" ref="BN59:BN69" ca="1" si="192">CF59</f>
        <v>7</v>
      </c>
      <c r="BO59" s="16" t="str">
        <f t="shared" si="174"/>
        <v>4B</v>
      </c>
      <c r="BP59" s="16"/>
      <c r="BQ59" s="16"/>
      <c r="BR59" s="16">
        <f t="shared" ca="1" si="175"/>
        <v>3</v>
      </c>
      <c r="BS59" s="16">
        <f t="shared" ref="BS59:BS69" ca="1" si="193">COUNTIFS(BR$58:BR$69,"&gt;"&amp;BR59)+1</f>
        <v>4</v>
      </c>
      <c r="BT59" s="16" t="str">
        <f t="shared" ref="BT59:BT69" ca="1" si="194">IF(COUNTIF(BS$58:BS$69,BS59)=1,"-","Pos. "&amp;BS59&amp;" ("&amp;COUNTIF(BS$58:BS$69,BS59)&amp;")")</f>
        <v>Pos. 4 (6)</v>
      </c>
      <c r="BU59" s="16">
        <f t="shared" ca="1" si="176"/>
        <v>-2</v>
      </c>
      <c r="BV59" s="16">
        <f t="shared" ca="1" si="177"/>
        <v>6</v>
      </c>
      <c r="BW59" s="16" t="str">
        <f t="shared" ca="1" si="178"/>
        <v>Pos. 6 (2)</v>
      </c>
      <c r="BX59" s="16">
        <f t="shared" ca="1" si="179"/>
        <v>2</v>
      </c>
      <c r="BY59" s="16">
        <f t="shared" ca="1" si="180"/>
        <v>7</v>
      </c>
      <c r="BZ59" s="16" t="str">
        <f t="shared" ca="1" si="181"/>
        <v>-</v>
      </c>
      <c r="CA59" s="16" t="str">
        <f t="shared" ca="1" si="182"/>
        <v>-</v>
      </c>
      <c r="CB59" s="16">
        <f t="shared" ref="CB59:CB68" ca="1" si="195">BY59+COUNTIFS(BZ$58:BZ$69,BZ59,CA$58:CA$69,"&gt;"&amp;CA59)</f>
        <v>7</v>
      </c>
      <c r="CC59" s="16"/>
      <c r="CD59" s="16">
        <f t="shared" ca="1" si="183"/>
        <v>7</v>
      </c>
      <c r="CE59" s="16" t="str">
        <f t="shared" ref="CE59:CE69" ca="1" si="196">IF(BZ59="-","-",COUNTIF(CD$58:CD$69,"&lt;"&amp;CD59))</f>
        <v>-</v>
      </c>
      <c r="CF59" s="16">
        <f t="shared" ref="CF59:CF69" ca="1" si="197">BY59+COUNTIFS(BZ$58:BZ$69,BZ59,CE$58:CE$69,"&lt;"&amp;CE59)</f>
        <v>7</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Corea del Sur</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447</v>
      </c>
      <c r="X60" s="24">
        <f ca="1">Horarios!C60</f>
        <v>46188.5</v>
      </c>
      <c r="Y60" s="25">
        <f ca="1">Horarios!C60</f>
        <v>46188.5</v>
      </c>
      <c r="Z60" s="26" t="str">
        <f>$Z$4</f>
        <v>J1</v>
      </c>
      <c r="AA60" s="27" t="str">
        <f ca="1">A61</f>
        <v>España</v>
      </c>
      <c r="AB60" s="49" t="e" cm="1" vm="30">
        <f t="array" aca="1" ref="AB60" ca="1">Ver_flag_local</f>
        <v>#VALUE!</v>
      </c>
      <c r="AC60" s="50">
        <v>4</v>
      </c>
      <c r="AD60" s="51">
        <v>1</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6</v>
      </c>
      <c r="BN60" s="16">
        <f t="shared" ca="1" si="192"/>
        <v>6</v>
      </c>
      <c r="BO60" s="16" t="str">
        <f t="shared" si="174"/>
        <v>4C</v>
      </c>
      <c r="BP60" s="16"/>
      <c r="BQ60" s="16"/>
      <c r="BR60" s="16">
        <f t="shared" ca="1" si="175"/>
        <v>3</v>
      </c>
      <c r="BS60" s="16">
        <f t="shared" ca="1" si="193"/>
        <v>4</v>
      </c>
      <c r="BT60" s="16" t="str">
        <f t="shared" ca="1" si="194"/>
        <v>Pos. 4 (6)</v>
      </c>
      <c r="BU60" s="16">
        <f t="shared" ca="1" si="176"/>
        <v>-2</v>
      </c>
      <c r="BV60" s="16">
        <f t="shared" ca="1" si="177"/>
        <v>6</v>
      </c>
      <c r="BW60" s="16" t="str">
        <f t="shared" ca="1" si="178"/>
        <v>Pos. 6 (2)</v>
      </c>
      <c r="BX60" s="16">
        <f t="shared" ca="1" si="179"/>
        <v>3</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Senegal</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65"/>
      <c r="X61" s="24">
        <f ca="1">Horarios!C61</f>
        <v>46188.75</v>
      </c>
      <c r="Y61" s="25">
        <f ca="1">Horarios!C61</f>
        <v>46188.75</v>
      </c>
      <c r="Z61" s="26" t="str">
        <f>$Z$4</f>
        <v>J1</v>
      </c>
      <c r="AA61" s="27" t="str">
        <f ca="1">A63</f>
        <v>Arabia Saudita</v>
      </c>
      <c r="AB61" s="49" t="e" cm="1" vm="32">
        <f t="array" aca="1" ref="AB61" ca="1">Ver_flag_local</f>
        <v>#VALUE!</v>
      </c>
      <c r="AC61" s="50">
        <v>0</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2</v>
      </c>
      <c r="BF61" s="16">
        <f t="shared" ca="1" si="189"/>
        <v>3</v>
      </c>
      <c r="BG61" s="16">
        <f t="shared" ca="1" si="169"/>
        <v>0</v>
      </c>
      <c r="BH61" s="16">
        <f t="shared" ca="1" si="170"/>
        <v>2</v>
      </c>
      <c r="BI61" s="16">
        <f t="shared" ca="1" si="171"/>
        <v>1</v>
      </c>
      <c r="BJ61" s="16">
        <f t="shared" ca="1" si="172"/>
        <v>1</v>
      </c>
      <c r="BK61" s="16">
        <f t="shared" ca="1" si="173"/>
        <v>2</v>
      </c>
      <c r="BL61" s="16">
        <f t="shared" ca="1" si="190"/>
        <v>-1</v>
      </c>
      <c r="BM61" s="16">
        <f t="shared" ca="1" si="191"/>
        <v>10</v>
      </c>
      <c r="BN61" s="16">
        <f t="shared" ca="1" si="192"/>
        <v>10</v>
      </c>
      <c r="BO61" s="16" t="str">
        <f t="shared" si="174"/>
        <v>4D</v>
      </c>
      <c r="BP61" s="16"/>
      <c r="BQ61" s="16"/>
      <c r="BR61" s="16">
        <f t="shared" ca="1" si="175"/>
        <v>2</v>
      </c>
      <c r="BS61" s="16">
        <f t="shared" ca="1" si="193"/>
        <v>10</v>
      </c>
      <c r="BT61" s="16" t="str">
        <f t="shared" ca="1" si="194"/>
        <v>-</v>
      </c>
      <c r="BU61" s="16" t="str">
        <f t="shared" ca="1" si="176"/>
        <v>-</v>
      </c>
      <c r="BV61" s="16">
        <f t="shared" ca="1" si="177"/>
        <v>10</v>
      </c>
      <c r="BW61" s="16" t="str">
        <f t="shared" ca="1" si="178"/>
        <v>-</v>
      </c>
      <c r="BX61" s="16" t="str">
        <f t="shared" ca="1" si="179"/>
        <v>-</v>
      </c>
      <c r="BY61" s="16">
        <f t="shared" ca="1" si="180"/>
        <v>10</v>
      </c>
      <c r="BZ61" s="16" t="str">
        <f t="shared" ca="1" si="181"/>
        <v>-</v>
      </c>
      <c r="CA61" s="16" t="str">
        <f t="shared" ca="1" si="182"/>
        <v>-</v>
      </c>
      <c r="CB61" s="16">
        <f t="shared" ca="1" si="195"/>
        <v>10</v>
      </c>
      <c r="CC61" s="16"/>
      <c r="CD61" s="16">
        <f t="shared" ca="1" si="183"/>
        <v>10</v>
      </c>
      <c r="CE61" s="16" t="str">
        <f t="shared" ca="1" si="196"/>
        <v>-</v>
      </c>
      <c r="CF61" s="16">
        <f t="shared" ca="1" si="197"/>
        <v>10</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Suecia</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65"/>
      <c r="X62" s="24">
        <f ca="1">Horarios!C62</f>
        <v>46194.5</v>
      </c>
      <c r="Y62" s="25">
        <f ca="1">Horarios!C62</f>
        <v>46194.5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2</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5</v>
      </c>
      <c r="BL62" s="16">
        <f t="shared" ca="1" si="190"/>
        <v>-1</v>
      </c>
      <c r="BM62" s="16">
        <f t="shared" ca="1" si="191"/>
        <v>5</v>
      </c>
      <c r="BN62" s="16">
        <f t="shared" ca="1" si="192"/>
        <v>5</v>
      </c>
      <c r="BO62" s="16" t="str">
        <f t="shared" si="174"/>
        <v>4E</v>
      </c>
      <c r="BP62" s="16"/>
      <c r="BQ62" s="16"/>
      <c r="BR62" s="16">
        <f t="shared" ca="1" si="175"/>
        <v>3</v>
      </c>
      <c r="BS62" s="16">
        <f t="shared" ca="1" si="193"/>
        <v>4</v>
      </c>
      <c r="BT62" s="16" t="str">
        <f t="shared" ca="1" si="194"/>
        <v>Pos. 4 (6)</v>
      </c>
      <c r="BU62" s="16">
        <f t="shared" ca="1" si="176"/>
        <v>-1</v>
      </c>
      <c r="BV62" s="16">
        <f t="shared" ca="1" si="177"/>
        <v>5</v>
      </c>
      <c r="BW62" s="16" t="str">
        <f t="shared" ca="1" si="178"/>
        <v>-</v>
      </c>
      <c r="BX62" s="16" t="str">
        <f t="shared" ca="1" si="179"/>
        <v>-</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65"/>
      <c r="X63" s="24">
        <f ca="1">Horarios!C63</f>
        <v>46194.75</v>
      </c>
      <c r="Y63" s="25">
        <f ca="1">Horarios!C63</f>
        <v>46194.75</v>
      </c>
      <c r="Z63" s="26" t="str">
        <f>$Z$6</f>
        <v>J2</v>
      </c>
      <c r="AA63" s="27" t="str">
        <f ca="1">A64</f>
        <v>Uruguay</v>
      </c>
      <c r="AB63" s="49" t="e" cm="1" vm="33">
        <f t="array" aca="1" ref="AB63" ca="1">Ver_flag_local</f>
        <v>#VALUE!</v>
      </c>
      <c r="AC63" s="50">
        <v>2</v>
      </c>
      <c r="AD63" s="51">
        <v>1</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2</v>
      </c>
      <c r="BL63" s="16">
        <f t="shared" ca="1" si="190"/>
        <v>1</v>
      </c>
      <c r="BM63" s="16">
        <f t="shared" ca="1" si="191"/>
        <v>4</v>
      </c>
      <c r="BN63" s="16">
        <f t="shared" ca="1" si="192"/>
        <v>4</v>
      </c>
      <c r="BO63" s="16" t="str">
        <f t="shared" si="174"/>
        <v>4F</v>
      </c>
      <c r="BP63" s="16"/>
      <c r="BQ63" s="16"/>
      <c r="BR63" s="16">
        <f t="shared" ca="1" si="175"/>
        <v>3</v>
      </c>
      <c r="BS63" s="16">
        <f t="shared" ca="1" si="193"/>
        <v>4</v>
      </c>
      <c r="BT63" s="16" t="str">
        <f t="shared" ca="1" si="194"/>
        <v>Pos. 4 (6)</v>
      </c>
      <c r="BU63" s="16">
        <f t="shared" ca="1" si="176"/>
        <v>1</v>
      </c>
      <c r="BV63" s="16">
        <f t="shared" ca="1" si="177"/>
        <v>4</v>
      </c>
      <c r="BW63" s="16" t="str">
        <f t="shared" ca="1" si="178"/>
        <v>-</v>
      </c>
      <c r="BX63" s="16" t="str">
        <f t="shared" ca="1" si="179"/>
        <v>-</v>
      </c>
      <c r="BY63" s="16">
        <f t="shared" ca="1" si="180"/>
        <v>4</v>
      </c>
      <c r="BZ63" s="16" t="str">
        <f t="shared" ca="1" si="181"/>
        <v>-</v>
      </c>
      <c r="CA63" s="16" t="str">
        <f t="shared" ca="1" si="182"/>
        <v>-</v>
      </c>
      <c r="CB63" s="16">
        <f t="shared" ca="1" si="195"/>
        <v>4</v>
      </c>
      <c r="CC63" s="16"/>
      <c r="CD63" s="16">
        <f t="shared" ca="1" si="183"/>
        <v>4</v>
      </c>
      <c r="CE63" s="16" t="str">
        <f t="shared" ca="1" si="196"/>
        <v>-</v>
      </c>
      <c r="CF63" s="16">
        <f t="shared" ca="1" si="197"/>
        <v>4</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65"/>
      <c r="X64" s="24">
        <f ca="1">Horarios!C64</f>
        <v>46199.833333333336</v>
      </c>
      <c r="Y64" s="25">
        <f ca="1">Horarios!C64</f>
        <v>46199.833333333336</v>
      </c>
      <c r="Z64" s="26" t="str">
        <f>$Z$8</f>
        <v>J3</v>
      </c>
      <c r="AA64" s="27" t="str">
        <f ca="1">A62</f>
        <v>Cabo Verde</v>
      </c>
      <c r="AB64" s="49" t="e" cm="1" vm="31">
        <f t="array" aca="1" ref="AB64" ca="1">Ver_flag_local</f>
        <v>#VALUE!</v>
      </c>
      <c r="AC64" s="50">
        <v>0</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5</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Nueva Zelanda</v>
      </c>
      <c r="BE64" s="16">
        <f t="shared" ca="1" si="188"/>
        <v>1</v>
      </c>
      <c r="BF64" s="16">
        <f t="shared" ca="1" si="189"/>
        <v>3</v>
      </c>
      <c r="BG64" s="16">
        <f t="shared" ca="1" si="169"/>
        <v>0</v>
      </c>
      <c r="BH64" s="16">
        <f t="shared" ca="1" si="170"/>
        <v>1</v>
      </c>
      <c r="BI64" s="16">
        <f t="shared" ca="1" si="171"/>
        <v>2</v>
      </c>
      <c r="BJ64" s="16">
        <f t="shared" ca="1" si="172"/>
        <v>0</v>
      </c>
      <c r="BK64" s="16">
        <f t="shared" ca="1" si="173"/>
        <v>3</v>
      </c>
      <c r="BL64" s="16">
        <f t="shared" ca="1" si="190"/>
        <v>-3</v>
      </c>
      <c r="BM64" s="16">
        <f t="shared" ca="1" si="191"/>
        <v>12</v>
      </c>
      <c r="BN64" s="16">
        <f t="shared" ca="1" si="192"/>
        <v>12</v>
      </c>
      <c r="BO64" s="16" t="str">
        <f t="shared" si="174"/>
        <v>4G</v>
      </c>
      <c r="BP64" s="16"/>
      <c r="BQ64" s="16"/>
      <c r="BR64" s="16">
        <f t="shared" ca="1" si="175"/>
        <v>1</v>
      </c>
      <c r="BS64" s="16">
        <f t="shared" ca="1" si="193"/>
        <v>11</v>
      </c>
      <c r="BT64" s="16" t="str">
        <f t="shared" ca="1" si="194"/>
        <v>Pos. 11 (2)</v>
      </c>
      <c r="BU64" s="16">
        <f t="shared" ca="1" si="176"/>
        <v>-3</v>
      </c>
      <c r="BV64" s="16">
        <f t="shared" ca="1" si="177"/>
        <v>11</v>
      </c>
      <c r="BW64" s="16" t="str">
        <f t="shared" ca="1" si="178"/>
        <v>Pos. 11 (2)</v>
      </c>
      <c r="BX64" s="16">
        <f t="shared" ca="1" si="179"/>
        <v>0</v>
      </c>
      <c r="BY64" s="16">
        <f t="shared" ca="1" si="180"/>
        <v>11</v>
      </c>
      <c r="BZ64" s="16" t="str">
        <f t="shared" ca="1" si="181"/>
        <v>Pos. 11 (2)</v>
      </c>
      <c r="CA64" s="16">
        <f t="shared" ca="1" si="182"/>
        <v>4</v>
      </c>
      <c r="CB64" s="16">
        <f t="shared" ca="1" si="195"/>
        <v>12</v>
      </c>
      <c r="CC64" s="16"/>
      <c r="CD64" s="16">
        <f t="shared" ca="1" si="183"/>
        <v>12</v>
      </c>
      <c r="CE64" s="16">
        <f t="shared" ca="1" si="196"/>
        <v>11</v>
      </c>
      <c r="CF64" s="16">
        <f t="shared" ca="1" si="197"/>
        <v>12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Bosnia y Herzegovina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66"/>
      <c r="X65" s="28">
        <f ca="1">Horarios!C65</f>
        <v>46199.833333333336</v>
      </c>
      <c r="Y65" s="29">
        <f ca="1">Horarios!C65</f>
        <v>46199.833333333336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7</v>
      </c>
      <c r="AT65" s="48">
        <f t="shared" ca="1" si="215"/>
        <v>-5</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5</v>
      </c>
      <c r="BL65" s="16">
        <f t="shared" ca="1" si="190"/>
        <v>-4</v>
      </c>
      <c r="BM65" s="16">
        <f t="shared" ca="1" si="191"/>
        <v>9</v>
      </c>
      <c r="BN65" s="16">
        <f t="shared" ca="1" si="192"/>
        <v>9</v>
      </c>
      <c r="BO65" s="16" t="str">
        <f t="shared" si="174"/>
        <v>4H</v>
      </c>
      <c r="BP65" s="16"/>
      <c r="BQ65" s="16"/>
      <c r="BR65" s="16">
        <f t="shared" ca="1" si="175"/>
        <v>3</v>
      </c>
      <c r="BS65" s="16">
        <f t="shared" ca="1" si="193"/>
        <v>4</v>
      </c>
      <c r="BT65" s="16" t="str">
        <f t="shared" ca="1" si="194"/>
        <v>Pos. 4 (6)</v>
      </c>
      <c r="BU65" s="16">
        <f t="shared" ca="1" si="176"/>
        <v>-4</v>
      </c>
      <c r="BV65" s="16">
        <f t="shared" ca="1" si="177"/>
        <v>9</v>
      </c>
      <c r="BW65" s="16" t="str">
        <f t="shared" ca="1" si="178"/>
        <v>-</v>
      </c>
      <c r="BX65" s="16" t="str">
        <f t="shared" ca="1" si="179"/>
        <v>-</v>
      </c>
      <c r="BY65" s="16">
        <f t="shared" ca="1" si="180"/>
        <v>9</v>
      </c>
      <c r="BZ65" s="16" t="str">
        <f t="shared" ca="1" si="181"/>
        <v>-</v>
      </c>
      <c r="CA65" s="16" t="str">
        <f t="shared" ca="1" si="182"/>
        <v>-</v>
      </c>
      <c r="CB65" s="16">
        <f t="shared" ca="1" si="195"/>
        <v>9</v>
      </c>
      <c r="CC65" s="16"/>
      <c r="CD65" s="16">
        <f t="shared" ca="1" si="183"/>
        <v>9</v>
      </c>
      <c r="CE65" s="16" t="str">
        <f t="shared" ca="1" si="196"/>
        <v>-</v>
      </c>
      <c r="CF65" s="16">
        <f t="shared" ca="1" si="197"/>
        <v>9</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Uzbekistán</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5</v>
      </c>
      <c r="BL66" s="16">
        <f t="shared" ca="1" si="190"/>
        <v>-1</v>
      </c>
      <c r="BM66" s="16">
        <f t="shared" ca="1" si="191"/>
        <v>3</v>
      </c>
      <c r="BN66" s="16">
        <f t="shared" ca="1" si="192"/>
        <v>3</v>
      </c>
      <c r="BO66" s="16" t="str">
        <f t="shared" si="174"/>
        <v>4I</v>
      </c>
      <c r="BP66" s="16"/>
      <c r="BQ66" s="16"/>
      <c r="BR66" s="16">
        <f t="shared" ca="1" si="175"/>
        <v>4</v>
      </c>
      <c r="BS66" s="16">
        <f t="shared" ca="1" si="193"/>
        <v>2</v>
      </c>
      <c r="BT66" s="16" t="str">
        <f t="shared" ca="1" si="194"/>
        <v>Pos. 2 (2)</v>
      </c>
      <c r="BU66" s="16">
        <f t="shared" ca="1" si="176"/>
        <v>-1</v>
      </c>
      <c r="BV66" s="16">
        <f t="shared" ca="1" si="177"/>
        <v>3</v>
      </c>
      <c r="BW66" s="16" t="str">
        <f t="shared" ca="1" si="178"/>
        <v>-</v>
      </c>
      <c r="BX66" s="16" t="str">
        <f t="shared" ca="1" si="179"/>
        <v>-</v>
      </c>
      <c r="BY66" s="16">
        <f t="shared" ca="1" si="180"/>
        <v>3</v>
      </c>
      <c r="BZ66" s="16" t="str">
        <f t="shared" ca="1" si="181"/>
        <v>-</v>
      </c>
      <c r="CA66" s="16" t="str">
        <f t="shared" ca="1" si="182"/>
        <v>-</v>
      </c>
      <c r="CB66" s="16">
        <f t="shared" ca="1" si="195"/>
        <v>3</v>
      </c>
      <c r="CC66" s="16"/>
      <c r="CD66" s="16">
        <f t="shared" ca="1" si="183"/>
        <v>3</v>
      </c>
      <c r="CE66" s="16" t="str">
        <f t="shared" ca="1" si="196"/>
        <v>-</v>
      </c>
      <c r="CF66" s="16">
        <f t="shared" ca="1" si="197"/>
        <v>3</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Arabia Saudita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0</v>
      </c>
      <c r="BK67" s="16">
        <f t="shared" ca="1" si="173"/>
        <v>3</v>
      </c>
      <c r="BL67" s="16">
        <f t="shared" ca="1" si="190"/>
        <v>-3</v>
      </c>
      <c r="BM67" s="16">
        <f t="shared" ca="1" si="191"/>
        <v>11</v>
      </c>
      <c r="BN67" s="16">
        <f t="shared" ca="1" si="192"/>
        <v>11</v>
      </c>
      <c r="BO67" s="16" t="str">
        <f t="shared" si="174"/>
        <v>4J</v>
      </c>
      <c r="BP67" s="16"/>
      <c r="BQ67" s="16"/>
      <c r="BR67" s="16">
        <f t="shared" ca="1" si="175"/>
        <v>1</v>
      </c>
      <c r="BS67" s="16">
        <f t="shared" ca="1" si="193"/>
        <v>11</v>
      </c>
      <c r="BT67" s="16" t="str">
        <f t="shared" ca="1" si="194"/>
        <v>Pos. 11 (2)</v>
      </c>
      <c r="BU67" s="16">
        <f t="shared" ca="1" si="176"/>
        <v>-3</v>
      </c>
      <c r="BV67" s="16">
        <f t="shared" ca="1" si="177"/>
        <v>11</v>
      </c>
      <c r="BW67" s="16" t="str">
        <f t="shared" ca="1" si="178"/>
        <v>Pos. 11 (2)</v>
      </c>
      <c r="BX67" s="16">
        <f t="shared" ca="1" si="179"/>
        <v>0</v>
      </c>
      <c r="BY67" s="16">
        <f t="shared" ca="1" si="180"/>
        <v>11</v>
      </c>
      <c r="BZ67" s="16" t="str">
        <f t="shared" ca="1" si="181"/>
        <v>Pos. 11 (2)</v>
      </c>
      <c r="CA67" s="16">
        <f t="shared" ca="1" si="182"/>
        <v>10</v>
      </c>
      <c r="CB67" s="16">
        <f t="shared" ca="1" si="195"/>
        <v>11</v>
      </c>
      <c r="CC67" s="16"/>
      <c r="CD67" s="16">
        <f t="shared" ca="1" si="183"/>
        <v>11.010999999999999</v>
      </c>
      <c r="CE67" s="16">
        <f t="shared" ca="1" si="196"/>
        <v>10</v>
      </c>
      <c r="CF67" s="16">
        <f t="shared" ca="1" si="197"/>
        <v>11</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Paraguay</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71" t="s">
        <v>448</v>
      </c>
      <c r="X68" s="24">
        <f ca="1">Horarios!C68</f>
        <v>46189.625</v>
      </c>
      <c r="Y68" s="25">
        <f ca="1">Horarios!C68</f>
        <v>46189.625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1</v>
      </c>
      <c r="BK68" s="16">
        <f t="shared" ca="1" si="173"/>
        <v>4</v>
      </c>
      <c r="BL68" s="16">
        <f t="shared" ca="1" si="190"/>
        <v>-3</v>
      </c>
      <c r="BM68" s="16">
        <f t="shared" ca="1" si="191"/>
        <v>8</v>
      </c>
      <c r="BN68" s="16">
        <f t="shared" ca="1" si="192"/>
        <v>8</v>
      </c>
      <c r="BO68" s="16" t="str">
        <f t="shared" si="174"/>
        <v>4K</v>
      </c>
      <c r="BP68" s="16"/>
      <c r="BQ68" s="16"/>
      <c r="BR68" s="16">
        <f t="shared" ca="1" si="175"/>
        <v>3</v>
      </c>
      <c r="BS68" s="16">
        <f t="shared" ca="1" si="193"/>
        <v>4</v>
      </c>
      <c r="BT68" s="16" t="str">
        <f t="shared" ca="1" si="194"/>
        <v>Pos. 4 (6)</v>
      </c>
      <c r="BU68" s="16">
        <f t="shared" ca="1" si="176"/>
        <v>-3</v>
      </c>
      <c r="BV68" s="16">
        <f t="shared" ca="1" si="177"/>
        <v>8</v>
      </c>
      <c r="BW68" s="16" t="str">
        <f t="shared" ca="1" si="178"/>
        <v>-</v>
      </c>
      <c r="BX68" s="16" t="str">
        <f t="shared" ca="1" si="179"/>
        <v>-</v>
      </c>
      <c r="BY68" s="16">
        <f t="shared" ca="1" si="180"/>
        <v>8</v>
      </c>
      <c r="BZ68" s="16" t="str">
        <f t="shared" ca="1" si="181"/>
        <v>-</v>
      </c>
      <c r="CA68" s="16" t="str">
        <f t="shared" ca="1" si="182"/>
        <v>-</v>
      </c>
      <c r="CB68" s="16">
        <f t="shared" ca="1" si="195"/>
        <v>8</v>
      </c>
      <c r="CC68" s="16"/>
      <c r="CD68" s="16">
        <f t="shared" ca="1" si="183"/>
        <v>8</v>
      </c>
      <c r="CE68" s="16" t="str">
        <f t="shared" ca="1" si="196"/>
        <v>-</v>
      </c>
      <c r="CF68" s="16">
        <f t="shared" ca="1" si="197"/>
        <v>8</v>
      </c>
      <c r="DJ68" s="16">
        <f t="shared" ca="1" si="184"/>
        <v>11</v>
      </c>
      <c r="DK68" s="16"/>
      <c r="DL68" s="16">
        <f t="shared" ca="1" si="185"/>
        <v>2</v>
      </c>
      <c r="DM68" s="16" t="str">
        <f t="shared" ca="1" si="186"/>
        <v>11.2</v>
      </c>
      <c r="DN68" s="16" t="e" cm="1" vm="11">
        <f t="array" aca="1" ref="DN68" ca="1">OFFSET(Horarios!$P$3,DJ68-1,0,DL68,1)</f>
        <v>#VALUE!</v>
      </c>
      <c r="DO68" s="16"/>
      <c r="DP68" s="16">
        <v>11</v>
      </c>
      <c r="DQ68" s="16" t="str">
        <f t="shared" ca="1" si="198"/>
        <v>Argelia</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71"/>
      <c r="X69" s="24">
        <f ca="1">Horarios!C69</f>
        <v>46189.75</v>
      </c>
      <c r="Y69" s="25">
        <f ca="1">Horarios!C69</f>
        <v>46189.75</v>
      </c>
      <c r="Z69" s="26" t="str">
        <f>$Z$4</f>
        <v>J1</v>
      </c>
      <c r="AA69" s="27" t="str">
        <f ca="1">A71</f>
        <v>Irak</v>
      </c>
      <c r="AB69" s="49" t="e" cm="1" vm="36">
        <f t="array" aca="1" ref="AB69" ca="1">Ver_flag_local</f>
        <v>#VALUE!</v>
      </c>
      <c r="AC69" s="50">
        <v>0</v>
      </c>
      <c r="AD69" s="51">
        <v>3</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6</v>
      </c>
      <c r="BF69" s="16">
        <f t="shared" ca="1" si="189"/>
        <v>3</v>
      </c>
      <c r="BG69" s="16">
        <f t="shared" ca="1" si="169"/>
        <v>2</v>
      </c>
      <c r="BH69" s="16">
        <f t="shared" ca="1" si="170"/>
        <v>0</v>
      </c>
      <c r="BI69" s="16">
        <f t="shared" ca="1" si="171"/>
        <v>1</v>
      </c>
      <c r="BJ69" s="16">
        <f t="shared" ca="1" si="172"/>
        <v>3</v>
      </c>
      <c r="BK69" s="16">
        <f t="shared" ca="1" si="173"/>
        <v>2</v>
      </c>
      <c r="BL69" s="16">
        <f t="shared" ca="1" si="190"/>
        <v>1</v>
      </c>
      <c r="BM69" s="16">
        <f t="shared" ca="1" si="191"/>
        <v>1</v>
      </c>
      <c r="BN69" s="16">
        <f t="shared" ca="1" si="192"/>
        <v>1</v>
      </c>
      <c r="BO69" s="16" t="str">
        <f t="shared" si="174"/>
        <v>4L</v>
      </c>
      <c r="BP69" s="16"/>
      <c r="BQ69" s="16"/>
      <c r="BR69" s="16">
        <f t="shared" ca="1" si="175"/>
        <v>6</v>
      </c>
      <c r="BS69" s="16">
        <f t="shared" ca="1" si="193"/>
        <v>1</v>
      </c>
      <c r="BT69" s="16" t="str">
        <f t="shared" ca="1" si="194"/>
        <v>-</v>
      </c>
      <c r="BU69" s="16" t="str">
        <f t="shared" ca="1" si="176"/>
        <v>-</v>
      </c>
      <c r="BV69" s="16">
        <f t="shared" ca="1" si="177"/>
        <v>1</v>
      </c>
      <c r="BW69" s="16" t="str">
        <f t="shared" ca="1" si="178"/>
        <v>-</v>
      </c>
      <c r="BX69" s="16" t="str">
        <f t="shared" ca="1" si="179"/>
        <v>-</v>
      </c>
      <c r="BY69" s="16">
        <f t="shared" ca="1" si="180"/>
        <v>1</v>
      </c>
      <c r="BZ69" s="16" t="str">
        <f t="shared" ca="1" si="181"/>
        <v>-</v>
      </c>
      <c r="CA69" s="16" t="str">
        <f t="shared" ca="1" si="182"/>
        <v>-</v>
      </c>
      <c r="CB69" s="16">
        <f ca="1">BY69+COUNTIFS(BZ$58:BZ$69,BZ69,CA$58:CA$69,"&gt;"&amp;CA69)</f>
        <v>1</v>
      </c>
      <c r="CC69" s="16"/>
      <c r="CD69" s="16">
        <f t="shared" ca="1" si="183"/>
        <v>1</v>
      </c>
      <c r="CE69" s="16" t="str">
        <f t="shared" ca="1" si="196"/>
        <v>-</v>
      </c>
      <c r="CF69" s="16">
        <f t="shared" ca="1" si="197"/>
        <v>1</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Nueva Zelanda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46195.708333333336</v>
      </c>
      <c r="Y70" s="25">
        <f ca="1">Horarios!C70</f>
        <v>46195.708333333336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3</v>
      </c>
      <c r="AT70" s="41">
        <f t="shared" ca="1" si="233"/>
        <v>5</v>
      </c>
      <c r="AU70" s="330">
        <f ca="1">INDEX($DL$6:$DL$53,MATCH(AI70,$DP$6:$DP$53,0))</f>
        <v>1</v>
      </c>
      <c r="AV70" s="182" t="str">
        <f ca="1">INDEX($BD$6:$BD$53,MATCH(AI70,$BM$6:$BM$53,0))</f>
        <v>Francia</v>
      </c>
      <c r="AW70" s="210"/>
      <c r="AX70" s="171"/>
      <c r="AY70" s="201" t="str">
        <f ca="1">+A69</f>
        <v>Francia</v>
      </c>
      <c r="AZ70" s="202"/>
      <c r="BA70" s="176"/>
      <c r="DN70" s="16">
        <f ca="1"/>
        <v>12</v>
      </c>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71"/>
      <c r="X71" s="24">
        <f ca="1">Horarios!C71</f>
        <v>46195.833333333336</v>
      </c>
      <c r="Y71" s="25">
        <f ca="1">Horarios!C71</f>
        <v>46195.833333333336</v>
      </c>
      <c r="Z71" s="26" t="str">
        <f>$Z$6</f>
        <v>J2</v>
      </c>
      <c r="AA71" s="27" t="str">
        <f ca="1">A72</f>
        <v>Noruega</v>
      </c>
      <c r="AB71" s="49" t="e" cm="1" vm="37">
        <f t="array" aca="1" ref="AB71" ca="1">Ver_flag_local</f>
        <v>#VALUE!</v>
      </c>
      <c r="AC71" s="50">
        <v>2</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7</v>
      </c>
      <c r="AS71" s="39">
        <f t="shared" ca="1" si="233"/>
        <v>5</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71"/>
      <c r="X72" s="24">
        <f ca="1">Horarios!C72</f>
        <v>46199.625</v>
      </c>
      <c r="Y72" s="25">
        <f ca="1">Horarios!C72</f>
        <v>46199.625</v>
      </c>
      <c r="Z72" s="26" t="str">
        <f>$Z$8</f>
        <v>J3</v>
      </c>
      <c r="AA72" s="27" t="str">
        <f ca="1">A72</f>
        <v>Noruega</v>
      </c>
      <c r="AB72" s="49" t="e" cm="1" vm="37">
        <f t="array" aca="1" ref="AB72" ca="1">Ver_flag_local</f>
        <v>#VALUE!</v>
      </c>
      <c r="AC72" s="50">
        <v>2</v>
      </c>
      <c r="AD72" s="51">
        <v>3</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5</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72"/>
      <c r="X73" s="28">
        <f ca="1">Horarios!C73</f>
        <v>46199.625</v>
      </c>
      <c r="Y73" s="29">
        <f ca="1">Horarios!C73</f>
        <v>46199.625</v>
      </c>
      <c r="Z73" s="30" t="str">
        <f>$Z$8</f>
        <v>J3</v>
      </c>
      <c r="AA73" s="31" t="str">
        <f ca="1">A70</f>
        <v>Senegal</v>
      </c>
      <c r="AB73" s="52" t="e" cm="1" vm="35">
        <f t="array" aca="1" ref="AB73" ca="1">Ver_flag_local</f>
        <v>#VALUE!</v>
      </c>
      <c r="AC73" s="53">
        <v>1</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6</v>
      </c>
      <c r="AT73" s="48">
        <f t="shared" ca="1" si="233"/>
        <v>-6</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67" t="s">
        <v>5</v>
      </c>
      <c r="X76" s="24">
        <f ca="1">Horarios!C76</f>
        <v>46189.875</v>
      </c>
      <c r="Y76" s="25">
        <f ca="1">Horarios!C76</f>
        <v>46189.875</v>
      </c>
      <c r="Z76" s="26" t="str">
        <f>$Z$4</f>
        <v>J1</v>
      </c>
      <c r="AA76" s="27" t="str">
        <f ca="1">A77</f>
        <v>Argentina</v>
      </c>
      <c r="AB76" s="49" t="e" cm="1" vm="38">
        <f t="array" aca="1" ref="AB76" ca="1">Ver_flag_local</f>
        <v>#VALUE!</v>
      </c>
      <c r="AC76" s="50">
        <v>1</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67"/>
      <c r="X77" s="24">
        <f ca="1">Horarios!C77</f>
        <v>46190</v>
      </c>
      <c r="Y77" s="25">
        <f ca="1">Horarios!C77</f>
        <v>46190</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Visitante</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67"/>
      <c r="X78" s="24">
        <f ca="1">Horarios!C78</f>
        <v>46195.541666666664</v>
      </c>
      <c r="Y78" s="25">
        <f ca="1">Horarios!C78</f>
        <v>46195.541666666664</v>
      </c>
      <c r="Z78" s="26" t="str">
        <f>$Z$6</f>
        <v>J2</v>
      </c>
      <c r="AA78" s="27" t="str">
        <f ca="1">A77</f>
        <v>Argentina</v>
      </c>
      <c r="AB78" s="49" t="e" cm="1" vm="38">
        <f t="array" aca="1" ref="AB78" ca="1">Ver_flag_local</f>
        <v>#VALUE!</v>
      </c>
      <c r="AC78" s="50">
        <v>1</v>
      </c>
      <c r="AD78" s="51">
        <v>2</v>
      </c>
      <c r="AE78" s="595" t="e" cm="1" vm="40">
        <f t="array" aca="1" ref="AE78" ca="1">Ver_flag_visit</f>
        <v>#VALUE!</v>
      </c>
      <c r="AF78" s="32" t="str">
        <f ca="1">A79</f>
        <v>Austria</v>
      </c>
      <c r="AG78" s="323">
        <f t="shared" si="248"/>
        <v>1</v>
      </c>
      <c r="AH78" s="195">
        <v>43</v>
      </c>
      <c r="AI78" s="181" t="str">
        <f>AJ78&amp;$B$76</f>
        <v>1J</v>
      </c>
      <c r="AJ78" s="40">
        <v>1</v>
      </c>
      <c r="AK78" s="601" t="e" cm="1" vm="40">
        <f t="array" aca="1" ref="AK78" ca="1">Ver_flag_visit</f>
        <v>#VALUE!</v>
      </c>
      <c r="AL78" s="34" t="str">
        <f ca="1">IFERROR(INDEX($BD$6:$BD$53,MATCH(AI78,$BN$6:$BN$53,0)),"")</f>
        <v>Austria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1</v>
      </c>
      <c r="AT78" s="41">
        <f t="shared" ca="1" si="251"/>
        <v>5</v>
      </c>
      <c r="AU78" s="330">
        <f ca="1">INDEX($DL$6:$DL$53,MATCH(AI78,$DP$6:$DP$53,0))</f>
        <v>1</v>
      </c>
      <c r="AV78" s="182" t="str">
        <f ca="1">INDEX($BD$6:$BD$53,MATCH(AI78,$BM$6:$BM$53,0))</f>
        <v>Austria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67"/>
      <c r="X79" s="24">
        <f ca="1">Horarios!C79</f>
        <v>46195.958333333336</v>
      </c>
      <c r="Y79" s="25">
        <f ca="1">Horarios!C79</f>
        <v>46195.958333333336</v>
      </c>
      <c r="Z79" s="26" t="str">
        <f>$Z$6</f>
        <v>J2</v>
      </c>
      <c r="AA79" s="27" t="str">
        <f ca="1">A80</f>
        <v>Jordania</v>
      </c>
      <c r="AB79" s="49" t="e" cm="1" vm="41">
        <f t="array" aca="1" ref="AB79" ca="1">Ver_flag_local</f>
        <v>#VALUE!</v>
      </c>
      <c r="AC79" s="50">
        <v>0</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38">
        <f t="array" aca="1" ref="AK79" ca="1">Ver_flag_visit</f>
        <v>#VALUE!</v>
      </c>
      <c r="AL79" s="37" t="str">
        <f ca="1">IFERROR(INDEX($BD$6:$BD$53,MATCH(AI79,$BN$6:$BN$53,0)),"")</f>
        <v>Argentina</v>
      </c>
      <c r="AM79" s="38">
        <f t="shared" ca="1" si="251"/>
        <v>6</v>
      </c>
      <c r="AN79" s="39">
        <f t="shared" ca="1" si="251"/>
        <v>3</v>
      </c>
      <c r="AO79" s="39">
        <f t="shared" ca="1" si="251"/>
        <v>2</v>
      </c>
      <c r="AP79" s="39">
        <f t="shared" ca="1" si="251"/>
        <v>0</v>
      </c>
      <c r="AQ79" s="39">
        <f t="shared" ca="1" si="251"/>
        <v>1</v>
      </c>
      <c r="AR79" s="39">
        <f t="shared" ca="1" si="251"/>
        <v>6</v>
      </c>
      <c r="AS79" s="39">
        <f t="shared" ca="1" si="251"/>
        <v>2</v>
      </c>
      <c r="AT79" s="43">
        <f t="shared" ca="1" si="251"/>
        <v>4</v>
      </c>
      <c r="AU79" s="330">
        <f ca="1">INDEX($DL$6:$DL$53,MATCH(AI79,$DP$6:$DP$53,0))</f>
        <v>1</v>
      </c>
      <c r="AV79" s="182" t="str">
        <f ca="1">INDEX($BD$6:$BD$53,MATCH(AI79,$BM$6:$BM$53,0))</f>
        <v>Argentina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67"/>
      <c r="X80" s="24">
        <f ca="1">Horarios!C80</f>
        <v>46200.916666666664</v>
      </c>
      <c r="Y80" s="25">
        <f ca="1">Horarios!C80</f>
        <v>46200.916666666664</v>
      </c>
      <c r="Z80" s="26" t="str">
        <f>$Z$8</f>
        <v>J3</v>
      </c>
      <c r="AA80" s="27" t="str">
        <f ca="1">A78</f>
        <v>Argelia</v>
      </c>
      <c r="AB80" s="49" t="e" cm="1" vm="39">
        <f t="array" aca="1" ref="AB80" ca="1">Ver_flag_local</f>
        <v>#VALUE!</v>
      </c>
      <c r="AC80" s="50">
        <v>0</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0</v>
      </c>
      <c r="AS80" s="39">
        <f t="shared" ca="1" si="251"/>
        <v>3</v>
      </c>
      <c r="AT80" s="43">
        <f t="shared" ca="1" si="251"/>
        <v>-3</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68"/>
      <c r="X81" s="28">
        <f ca="1">Horarios!C81</f>
        <v>46200.916666666664</v>
      </c>
      <c r="Y81" s="29">
        <f ca="1">Horarios!C81</f>
        <v>46200.916666666664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6</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73" t="s">
        <v>449</v>
      </c>
      <c r="X84" s="24">
        <f ca="1">Horarios!C84</f>
        <v>46190.541666666664</v>
      </c>
      <c r="Y84" s="25">
        <f ca="1">Horarios!C84</f>
        <v>46190.541666666664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73"/>
      <c r="X85" s="24">
        <f ca="1">Horarios!C85</f>
        <v>46190.916666666664</v>
      </c>
      <c r="Y85" s="25">
        <f ca="1">Horarios!C85</f>
        <v>46190.916666666664</v>
      </c>
      <c r="Z85" s="26" t="str">
        <f>$Z$4</f>
        <v>J1</v>
      </c>
      <c r="AA85" s="27" t="str">
        <f ca="1">A87</f>
        <v>Uzbekistán</v>
      </c>
      <c r="AB85" s="49" t="e" cm="1" vm="44">
        <f t="array" aca="1" ref="AB85" ca="1">Ver_flag_local</f>
        <v>#VALUE!</v>
      </c>
      <c r="AC85" s="50">
        <v>0</v>
      </c>
      <c r="AD85" s="51">
        <v>1</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73"/>
      <c r="X86" s="24">
        <f ca="1">Horarios!C86</f>
        <v>46196.541666666664</v>
      </c>
      <c r="Y86" s="25">
        <f ca="1">Horarios!C86</f>
        <v>46196.541666666664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1</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73"/>
      <c r="X87" s="24">
        <f ca="1">Horarios!C87</f>
        <v>46196.916666666664</v>
      </c>
      <c r="Y87" s="25">
        <f ca="1">Horarios!C87</f>
        <v>46196.916666666664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4</v>
      </c>
      <c r="AS87" s="39">
        <f t="shared" ca="1" si="269"/>
        <v>1</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73"/>
      <c r="X88" s="24">
        <f ca="1">Horarios!C88</f>
        <v>46200.8125</v>
      </c>
      <c r="Y88" s="25">
        <f ca="1">Horarios!C88</f>
        <v>46200.8125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1</v>
      </c>
      <c r="AS88" s="39">
        <f t="shared" ca="1" si="269"/>
        <v>4</v>
      </c>
      <c r="AT88" s="43">
        <f t="shared" ca="1" si="269"/>
        <v>-3</v>
      </c>
      <c r="AU88" s="330">
        <f ca="1">INDEX($DL$6:$DL$53,MATCH(AI88,$DP$6:$DP$53,0))</f>
        <v>1</v>
      </c>
      <c r="AV88" s="182" t="str">
        <f ca="1">INDEX($BD$6:$BD$53,MATCH(AI88,$BM$6:$BM$53,0))</f>
        <v>Uzbekistán</v>
      </c>
      <c r="AW88" s="210"/>
      <c r="AX88" s="171"/>
      <c r="AY88" s="201" t="str">
        <f ca="1">+A87</f>
        <v>Uzbekistán</v>
      </c>
      <c r="AZ88" s="202"/>
      <c r="BA88" s="176"/>
    </row>
    <row r="89" spans="1:118" ht="15.95"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74"/>
      <c r="X89" s="28">
        <f ca="1">Horarios!C89</f>
        <v>46200.8125</v>
      </c>
      <c r="Y89" s="29">
        <f ca="1">Horarios!C89</f>
        <v>46200.8125</v>
      </c>
      <c r="Z89" s="30" t="str">
        <f>$Z$8</f>
        <v>J3</v>
      </c>
      <c r="AA89" s="31" t="str">
        <f ca="1">A86</f>
        <v>RD Congo</v>
      </c>
      <c r="AB89" s="52" t="e" cm="1" vm="43">
        <f t="array" aca="1" ref="AB89" ca="1">Ver_flag_local</f>
        <v>#VALUE!</v>
      </c>
      <c r="AC89" s="53">
        <v>0</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5</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P.1 (3)</v>
      </c>
      <c r="F92" s="16" t="str">
        <f t="shared" ref="F92:F97" ca="1" si="273">IF(D92="Pendiente","-",INDEX($BT$6:$BT$53,MATCH($AF92,$BD$6:$BD$53,0)))</f>
        <v>P.1 (3)</v>
      </c>
      <c r="G92" s="16"/>
      <c r="H92" s="16" t="str">
        <f t="shared" ref="H92:H97" ca="1" si="274">IF(D92="Pendiente","-",INDEX($BZ$6:$BZ$53,MATCH($AA92,$BD$6:$BD$53,0)))</f>
        <v>P.1 (3)</v>
      </c>
      <c r="I92" s="16" t="str">
        <f t="shared" ref="I92:I97" ca="1" si="275">IF(D92="Pendiente","-",INDEX($BZ$6:$BZ$53,MATCH($AF92,$BD$6:$BD$53,0)))</f>
        <v>P.1 (3)</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46190.666666666664</v>
      </c>
      <c r="Y92" s="25">
        <f ca="1">Horarios!C92</f>
        <v>46190.666666666664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P.1 (3)</v>
      </c>
      <c r="F93" s="16" t="str">
        <f t="shared" ca="1" si="273"/>
        <v>-</v>
      </c>
      <c r="G93" s="16"/>
      <c r="H93" s="16" t="str">
        <f t="shared" ca="1" si="274"/>
        <v>P.1 (3)</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46190.791666666664</v>
      </c>
      <c r="Y93" s="25">
        <f ca="1">Horarios!C93</f>
        <v>46190.791666666664</v>
      </c>
      <c r="Z93" s="26" t="str">
        <f>$Z$4</f>
        <v>J1</v>
      </c>
      <c r="AA93" s="27" t="str">
        <f ca="1">A95</f>
        <v>Ghana</v>
      </c>
      <c r="AB93" s="49" t="e" cm="1" vm="48">
        <f t="array" aca="1" ref="AB93" ca="1">Ver_flag_local</f>
        <v>#VALUE!</v>
      </c>
      <c r="AC93" s="50">
        <v>2</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Visitante</v>
      </c>
      <c r="E94" s="16" t="str">
        <f t="shared" ca="1" si="272"/>
        <v>P.1 (3)</v>
      </c>
      <c r="F94" s="16" t="str">
        <f t="shared" ca="1" si="273"/>
        <v>P.1 (3)</v>
      </c>
      <c r="G94" s="16"/>
      <c r="H94" s="16" t="str">
        <f t="shared" ca="1" si="274"/>
        <v>P.1 (3)</v>
      </c>
      <c r="I94" s="16" t="str">
        <f t="shared" ca="1" si="275"/>
        <v>P.1 (3)</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46196.666666666664</v>
      </c>
      <c r="Y94" s="25">
        <f ca="1">Horarios!C94</f>
        <v>46196.666666666664</v>
      </c>
      <c r="Z94" s="26" t="str">
        <f>$Z$6</f>
        <v>J2</v>
      </c>
      <c r="AA94" s="27" t="str">
        <f ca="1">A93</f>
        <v>Inglaterra</v>
      </c>
      <c r="AB94" s="49" t="e" cm="1" vm="46">
        <f t="array" aca="1" ref="AB94" ca="1">Ver_flag_local</f>
        <v>#VALUE!</v>
      </c>
      <c r="AC94" s="50">
        <v>0</v>
      </c>
      <c r="AD94" s="51">
        <v>1</v>
      </c>
      <c r="AE94" s="595" t="e" cm="1" vm="48">
        <f t="array" aca="1" ref="AE94" ca="1">Ver_flag_visit</f>
        <v>#VALUE!</v>
      </c>
      <c r="AF94" s="32" t="str">
        <f ca="1">A95</f>
        <v>Ghana</v>
      </c>
      <c r="AG94" s="323">
        <f t="shared" si="284"/>
        <v>1</v>
      </c>
      <c r="AH94" s="195">
        <v>45</v>
      </c>
      <c r="AI94" s="181" t="str">
        <f>AJ94&amp;$B$92</f>
        <v>1L</v>
      </c>
      <c r="AJ94" s="40">
        <v>1</v>
      </c>
      <c r="AK94" s="601" t="e" cm="1" vm="47">
        <f t="array" aca="1" ref="AK94" ca="1">Ver_flag_visit</f>
        <v>#VALUE!</v>
      </c>
      <c r="AL94" s="34" t="str">
        <f ca="1">IFERROR(INDEX($BD$6:$BD$53,MATCH(AI94,$BN$6:$BN$53,0)),"")</f>
        <v>Croacia</v>
      </c>
      <c r="AM94" s="35">
        <f t="shared" ref="AM94:AT97" ca="1" si="287">INDEX($BE$6:$BN$53,MATCH($AL94,$BD$6:$BD$53,0),MATCH(AM$5,$BE$5:$BN$5,0))</f>
        <v>6</v>
      </c>
      <c r="AN94" s="36">
        <f t="shared" ca="1" si="287"/>
        <v>3</v>
      </c>
      <c r="AO94" s="36">
        <f t="shared" ca="1" si="287"/>
        <v>2</v>
      </c>
      <c r="AP94" s="36">
        <f t="shared" ca="1" si="287"/>
        <v>0</v>
      </c>
      <c r="AQ94" s="36">
        <f t="shared" ca="1" si="287"/>
        <v>1</v>
      </c>
      <c r="AR94" s="36">
        <f t="shared" ca="1" si="287"/>
        <v>6</v>
      </c>
      <c r="AS94" s="36">
        <f t="shared" ca="1" si="287"/>
        <v>2</v>
      </c>
      <c r="AT94" s="41">
        <f t="shared" ca="1" si="287"/>
        <v>4</v>
      </c>
      <c r="AU94" s="330">
        <f ca="1">INDEX($DL$6:$DL$53,MATCH(AI94,$DP$6:$DP$53,0))</f>
        <v>1</v>
      </c>
      <c r="AV94" s="182" t="str">
        <f ca="1">INDEX($BD$6:$BD$53,MATCH(AI94,$BM$6:$BM$53,0))</f>
        <v>Croacia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(3)</v>
      </c>
      <c r="G95" s="16"/>
      <c r="H95" s="16" t="str">
        <f t="shared" ca="1" si="274"/>
        <v>-</v>
      </c>
      <c r="I95" s="16" t="str">
        <f t="shared" ca="1" si="275"/>
        <v>P.1 (3)</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46196.791666666664</v>
      </c>
      <c r="Y95" s="25">
        <f ca="1">Horarios!C95</f>
        <v>46196.791666666664</v>
      </c>
      <c r="Z95" s="26" t="str">
        <f>$Z$6</f>
        <v>J2</v>
      </c>
      <c r="AA95" s="27" t="str">
        <f ca="1">A96</f>
        <v>Panamá</v>
      </c>
      <c r="AB95" s="49" t="e" cm="1" vm="49">
        <f t="array" aca="1" ref="AB95" ca="1">Ver_flag_local</f>
        <v>#VALUE!</v>
      </c>
      <c r="AC95" s="50">
        <v>0</v>
      </c>
      <c r="AD95" s="51">
        <v>3</v>
      </c>
      <c r="AE95" s="595" t="e" cm="1" vm="47">
        <f t="array" aca="1" ref="AE95" ca="1">Ver_flag_visit</f>
        <v>#VALUE!</v>
      </c>
      <c r="AF95" s="32" t="str">
        <f ca="1">A94</f>
        <v>Croacia</v>
      </c>
      <c r="AG95" s="323">
        <f t="shared" si="284"/>
        <v>1</v>
      </c>
      <c r="AH95" s="195">
        <v>46</v>
      </c>
      <c r="AI95" s="181" t="str">
        <f t="shared" ref="AI95:AI97" si="288">AJ95&amp;$B$92</f>
        <v>2L</v>
      </c>
      <c r="AJ95" s="42">
        <v>2</v>
      </c>
      <c r="AK95" s="602" t="e" cm="1" vm="46">
        <f t="array" aca="1" ref="AK95" ca="1">Ver_flag_visit</f>
        <v>#VALUE!</v>
      </c>
      <c r="AL95" s="37" t="str">
        <f ca="1">IFERROR(INDEX($BD$6:$BD$53,MATCH(AI95,$BN$6:$BN$53,0)),"")</f>
        <v>Inglaterra</v>
      </c>
      <c r="AM95" s="38">
        <f t="shared" ca="1" si="287"/>
        <v>6</v>
      </c>
      <c r="AN95" s="39">
        <f t="shared" ca="1" si="287"/>
        <v>3</v>
      </c>
      <c r="AO95" s="39">
        <f t="shared" ca="1" si="287"/>
        <v>2</v>
      </c>
      <c r="AP95" s="39">
        <f t="shared" ca="1" si="287"/>
        <v>0</v>
      </c>
      <c r="AQ95" s="39">
        <f t="shared" ca="1" si="287"/>
        <v>1</v>
      </c>
      <c r="AR95" s="39">
        <f t="shared" ca="1" si="287"/>
        <v>5</v>
      </c>
      <c r="AS95" s="39">
        <f t="shared" ca="1" si="287"/>
        <v>2</v>
      </c>
      <c r="AT95" s="43">
        <f t="shared" ca="1" si="287"/>
        <v>3</v>
      </c>
      <c r="AU95" s="330">
        <f ca="1">INDEX($DL$6:$DL$53,MATCH(AI95,$DP$6:$DP$53,0))</f>
        <v>1</v>
      </c>
      <c r="AV95" s="182" t="str">
        <f ca="1">INDEX($BD$6:$BD$53,MATCH(AI95,$BM$6:$BM$53,0))</f>
        <v>Inglaterra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(3)</v>
      </c>
      <c r="G96" s="16"/>
      <c r="H96" s="16" t="str">
        <f t="shared" ca="1" si="274"/>
        <v>-</v>
      </c>
      <c r="I96" s="16" t="str">
        <f t="shared" ca="1" si="275"/>
        <v>P.1 (3)</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46200.708333333336</v>
      </c>
      <c r="Y96" s="25">
        <f ca="1">Horarios!C96</f>
        <v>46200.708333333336</v>
      </c>
      <c r="Z96" s="26" t="str">
        <f>$Z$8</f>
        <v>J3</v>
      </c>
      <c r="AA96" s="27" t="str">
        <f ca="1">A96</f>
        <v>Panamá</v>
      </c>
      <c r="AB96" s="49" t="e" cm="1" vm="49">
        <f t="array" aca="1" ref="AB96" ca="1">Ver_flag_local</f>
        <v>#VALUE!</v>
      </c>
      <c r="AC96" s="50">
        <v>0</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6</v>
      </c>
      <c r="AN96" s="39">
        <f t="shared" ca="1" si="287"/>
        <v>3</v>
      </c>
      <c r="AO96" s="39">
        <f t="shared" ca="1" si="287"/>
        <v>2</v>
      </c>
      <c r="AP96" s="39">
        <f t="shared" ca="1" si="287"/>
        <v>0</v>
      </c>
      <c r="AQ96" s="39">
        <f t="shared" ca="1" si="287"/>
        <v>1</v>
      </c>
      <c r="AR96" s="39">
        <f t="shared" ca="1" si="287"/>
        <v>3</v>
      </c>
      <c r="AS96" s="39">
        <f t="shared" ca="1" si="287"/>
        <v>2</v>
      </c>
      <c r="AT96" s="43">
        <f t="shared" ca="1" si="287"/>
        <v>1</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P.1 (3)</v>
      </c>
      <c r="F97" s="16" t="str">
        <f t="shared" ca="1" si="273"/>
        <v>P.1 (3)</v>
      </c>
      <c r="G97" s="16"/>
      <c r="H97" s="16" t="str">
        <f t="shared" ca="1" si="274"/>
        <v>P.1 (3)</v>
      </c>
      <c r="I97" s="16" t="str">
        <f t="shared" ca="1" si="275"/>
        <v>P.1 (3)</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46200.708333333336</v>
      </c>
      <c r="Y97" s="29">
        <f ca="1">Horarios!C97</f>
        <v>46200.708333333336</v>
      </c>
      <c r="Z97" s="30" t="str">
        <f>$Z$8</f>
        <v>J3</v>
      </c>
      <c r="AA97" s="31" t="str">
        <f ca="1">A94</f>
        <v>Croacia</v>
      </c>
      <c r="AB97" s="52" t="e" cm="1" vm="47">
        <f t="array" aca="1" ref="AB97" ca="1">Ver_flag_local</f>
        <v>#VALUE!</v>
      </c>
      <c r="AC97" s="53">
        <v>2</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8</v>
      </c>
      <c r="AT97" s="48">
        <f t="shared" ca="1" si="287"/>
        <v>-8</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República Checa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75" t="s">
        <v>493</v>
      </c>
      <c r="X101" s="24">
        <f ca="1">Horarios!C101</f>
        <v>46201.625</v>
      </c>
      <c r="Y101" s="25">
        <f ca="1">Horarios!C101</f>
        <v>46201.625</v>
      </c>
      <c r="Z101" s="280">
        <f>AH101</f>
        <v>73</v>
      </c>
      <c r="AA101" s="88" t="str">
        <f t="shared" ref="AA101:AA116" ca="1" si="292">+INDEX($M$101:$M$147,MATCH(AH101,$J$101:$J$147,0))</f>
        <v>República Checa</v>
      </c>
      <c r="AB101" s="89"/>
      <c r="AC101" s="51">
        <v>1</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ABCEFIKL</v>
      </c>
      <c r="BA101" s="176"/>
    </row>
    <row r="102" spans="1:62" ht="15.95" customHeight="1">
      <c r="A102" s="16" t="s">
        <v>672</v>
      </c>
      <c r="B102" s="16" t="s">
        <v>733</v>
      </c>
      <c r="C102" s="16"/>
      <c r="D102" s="16" t="str">
        <f t="shared" ca="1" si="289"/>
        <v>Marruecos</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75"/>
      <c r="X102" s="24">
        <f ca="1">Horarios!C102</f>
        <v>46202.541666666664</v>
      </c>
      <c r="Y102" s="25">
        <f ca="1">Horarios!C102</f>
        <v>46202.541666666664</v>
      </c>
      <c r="Z102" s="280">
        <f t="shared" ref="Z102:Z116" si="296">AH102</f>
        <v>76</v>
      </c>
      <c r="AA102" s="88" t="str">
        <f t="shared" ca="1" si="292"/>
        <v>Marruecos</v>
      </c>
      <c r="AB102" s="89"/>
      <c r="AC102" s="92">
        <v>1</v>
      </c>
      <c r="AD102" s="92">
        <v>0</v>
      </c>
      <c r="AE102" s="89"/>
      <c r="AF102" s="91" t="str">
        <f t="shared" ca="1" si="293"/>
        <v>Japón</v>
      </c>
      <c r="AG102" s="327">
        <f t="shared" ca="1" si="294"/>
        <v>1</v>
      </c>
      <c r="AH102" s="195">
        <v>76</v>
      </c>
      <c r="AI102" s="182">
        <v>1</v>
      </c>
      <c r="AJ102" s="80">
        <v>1</v>
      </c>
      <c r="AK102" s="605" t="e" cm="1" vm="48">
        <f t="array" aca="1" ref="AK102" ca="1">Ver_flag_visit</f>
        <v>#VALUE!</v>
      </c>
      <c r="AL102" s="81" t="str">
        <f t="shared" ref="AL102:AL113" ca="1" si="297">+IF($H$113&gt;=48,INDEX($BD$58:$BD$69,MATCH(AI102,$BN$58:$BN$69,0)),BB58)</f>
        <v>Ghana</v>
      </c>
      <c r="AM102" s="588">
        <f ca="1">+IF($H$113&gt;=48,INDEX($BE$58:$BN$69,MATCH($AL102,$BD$58:$BD$69,0),MATCH(AM$5,$BE$57:$BN$57,0)),$BB58)</f>
        <v>6</v>
      </c>
      <c r="AN102" s="82">
        <f ca="1">+IF($H$113&gt;=48,INDEX($BE$58:$BN$69,MATCH($AL102,$BD$58:$BD$69,0),MATCH(AN$5,$BE$57:$BN$57,0)),$BB58)</f>
        <v>3</v>
      </c>
      <c r="AO102" s="82">
        <f t="shared" ref="AO102:AT102" ca="1" si="298">+IF($H$113&gt;=48,INDEX($BE$58:$BN$69,MATCH($AL102,$BD$58:$BD$69,0),MATCH(AO$5,$BE$57:$BN$57,0)),$BB58)</f>
        <v>2</v>
      </c>
      <c r="AP102" s="82">
        <f t="shared" ca="1" si="298"/>
        <v>0</v>
      </c>
      <c r="AQ102" s="83">
        <f t="shared" ca="1" si="298"/>
        <v>1</v>
      </c>
      <c r="AR102" s="83">
        <f t="shared" ca="1" si="298"/>
        <v>3</v>
      </c>
      <c r="AS102" s="83">
        <f t="shared" ca="1" si="298"/>
        <v>2</v>
      </c>
      <c r="AT102" s="84">
        <f t="shared" ca="1" si="298"/>
        <v>1</v>
      </c>
      <c r="AU102" s="330">
        <f t="shared" ref="AU102:AU113" ca="1" si="299">IF($H$113=144,INDEX($DL$58:$DL$69,MATCH(AI102,$DP$58:$DP$69,0)),"")</f>
        <v>1</v>
      </c>
      <c r="AV102" s="182" t="str">
        <f t="shared" ref="AV102:AV113" ca="1" si="300">INDEX($BD$58:$BD$69,MATCH(AI102,$BM$58:$BM$69,0))</f>
        <v>Ghana</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75"/>
      <c r="X103" s="24">
        <f ca="1">Horarios!C103</f>
        <v>46202.6875</v>
      </c>
      <c r="Y103" s="25">
        <f ca="1">Horarios!C103</f>
        <v>46202.6875</v>
      </c>
      <c r="Z103" s="280">
        <f t="shared" si="296"/>
        <v>74</v>
      </c>
      <c r="AA103" s="88" t="str">
        <f t="shared" ca="1" si="292"/>
        <v>Alemania</v>
      </c>
      <c r="AB103" s="89"/>
      <c r="AC103" s="92">
        <v>1</v>
      </c>
      <c r="AD103" s="92">
        <v>0</v>
      </c>
      <c r="AE103" s="89"/>
      <c r="AF103" s="91" t="str">
        <f t="shared" ca="1" si="293"/>
        <v>Escocia</v>
      </c>
      <c r="AG103" s="327">
        <f t="shared" ca="1" si="294"/>
        <v>1</v>
      </c>
      <c r="AH103" s="195">
        <v>74</v>
      </c>
      <c r="AI103" s="182">
        <v>2</v>
      </c>
      <c r="AJ103" s="42">
        <v>2</v>
      </c>
      <c r="AK103" s="602" t="e" cm="1" vm="3">
        <f t="array" aca="1" ref="AK103" ca="1">Ver_flag_visit</f>
        <v>#VALUE!</v>
      </c>
      <c r="AL103" s="85" t="str">
        <f t="shared" ca="1" si="297"/>
        <v>Corea del Sur</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1</v>
      </c>
      <c r="AT103" s="87">
        <f t="shared" ca="1" si="302"/>
        <v>2</v>
      </c>
      <c r="AU103" s="330">
        <f t="shared" ca="1" si="299"/>
        <v>1</v>
      </c>
      <c r="AV103" s="182" t="str">
        <f t="shared" ca="1" si="300"/>
        <v>Corea del Sur</v>
      </c>
      <c r="AW103" s="215"/>
      <c r="AX103" s="170"/>
      <c r="AY103" s="276"/>
      <c r="AZ103" s="279" t="str">
        <f t="shared" ref="AZ103:AZ110" ca="1" si="303">+IF(OR($H$113&gt;=48,$AJ$99=144),BF117&amp;" - "&amp;BG117,"")</f>
        <v>1A - 3E</v>
      </c>
      <c r="BA103" s="176"/>
      <c r="BF103" t="str">
        <f t="shared" ref="BF103:BF110" ca="1" si="304">IFERROR(INDEX($BC$6:$BC$53,MATCH(AL102,$BD$6:$BD$53,0)),"")</f>
        <v>L</v>
      </c>
      <c r="BG103">
        <f t="shared" ref="BG103:BG110" ca="1" si="305">COUNTIF($BF$103:$BF$110,"&lt;="&amp;BF103)</f>
        <v>8</v>
      </c>
      <c r="BI103">
        <v>1</v>
      </c>
      <c r="BJ103" t="str">
        <f t="shared" ref="BJ103:BJ110" ca="1" si="306">IFERROR(INDEX($BF$103:$BF$110,MATCH(BI103,$BG$103:$BG$110,0)),"Grupo")</f>
        <v>A</v>
      </c>
    </row>
    <row r="104" spans="1:62" ht="15.95" customHeight="1">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46202.875</v>
      </c>
      <c r="Y104" s="25">
        <f ca="1">Horarios!C104</f>
        <v>46202.875</v>
      </c>
      <c r="Z104" s="280">
        <f t="shared" si="296"/>
        <v>75</v>
      </c>
      <c r="AA104" s="88" t="str">
        <f t="shared" ca="1" si="292"/>
        <v>Países Bajos</v>
      </c>
      <c r="AB104" s="89"/>
      <c r="AC104" s="92">
        <v>1</v>
      </c>
      <c r="AD104" s="92">
        <v>0</v>
      </c>
      <c r="AE104" s="89"/>
      <c r="AF104" s="91" t="str">
        <f t="shared" ca="1" si="293"/>
        <v>Brasil</v>
      </c>
      <c r="AG104" s="327">
        <f t="shared" ca="1" si="294"/>
        <v>1</v>
      </c>
      <c r="AH104" s="195">
        <v>75</v>
      </c>
      <c r="AI104" s="182">
        <v>3</v>
      </c>
      <c r="AJ104" s="42">
        <v>3</v>
      </c>
      <c r="AK104" s="602" t="e" cm="1" vm="35">
        <f t="array" aca="1" ref="AK104" ca="1">Ver_flag_visit</f>
        <v>#VALUE!</v>
      </c>
      <c r="AL104" s="85" t="str">
        <f t="shared" ca="1" si="297"/>
        <v>Senegal</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5</v>
      </c>
      <c r="AT104" s="87">
        <f t="shared" ca="1" si="307"/>
        <v>-1</v>
      </c>
      <c r="AU104" s="330">
        <f t="shared" ca="1" si="299"/>
        <v>1</v>
      </c>
      <c r="AV104" s="182" t="str">
        <f t="shared" ca="1" si="300"/>
        <v>Senegal</v>
      </c>
      <c r="AW104" s="215"/>
      <c r="AX104" s="170"/>
      <c r="AY104" s="276"/>
      <c r="AZ104" s="279" t="str">
        <f t="shared" ca="1" si="303"/>
        <v>1B - 3I</v>
      </c>
      <c r="BA104" s="176"/>
      <c r="BF104" t="str">
        <f t="shared" ca="1" si="304"/>
        <v>A</v>
      </c>
      <c r="BG104">
        <f t="shared" ca="1" si="305"/>
        <v>1</v>
      </c>
      <c r="BI104">
        <v>2</v>
      </c>
      <c r="BJ104" t="str">
        <f t="shared" ca="1" si="306"/>
        <v>B</v>
      </c>
    </row>
    <row r="105" spans="1:62" ht="15.95" customHeight="1">
      <c r="A105" s="16" t="s">
        <v>684</v>
      </c>
      <c r="B105" s="16" t="s">
        <v>734</v>
      </c>
      <c r="C105" s="16"/>
      <c r="D105" s="16" t="str">
        <f t="shared" ca="1" si="289"/>
        <v>Ecuador</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46203.541666666664</v>
      </c>
      <c r="Y105" s="25">
        <f ca="1">Horarios!C105</f>
        <v>46203.541666666664</v>
      </c>
      <c r="Z105" s="280">
        <f t="shared" si="296"/>
        <v>78</v>
      </c>
      <c r="AA105" s="88" t="str">
        <f t="shared" ca="1" si="292"/>
        <v>Ecuador</v>
      </c>
      <c r="AB105" s="89"/>
      <c r="AC105" s="92">
        <v>1</v>
      </c>
      <c r="AD105" s="92">
        <v>0</v>
      </c>
      <c r="AE105" s="89"/>
      <c r="AF105" s="91" t="str">
        <f t="shared" ca="1" si="293"/>
        <v>Noruega</v>
      </c>
      <c r="AG105" s="327">
        <f t="shared" ca="1" si="294"/>
        <v>1</v>
      </c>
      <c r="AH105" s="195">
        <v>78</v>
      </c>
      <c r="AI105" s="182">
        <v>4</v>
      </c>
      <c r="AJ105" s="42">
        <v>4</v>
      </c>
      <c r="AK105" s="602" t="e" cm="1" vm="24">
        <f t="array" aca="1" ref="AK105" ca="1">Ver_flag_visit</f>
        <v>#VALUE!</v>
      </c>
      <c r="AL105" s="85" t="str">
        <f t="shared" ca="1" si="297"/>
        <v>Suecia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2</v>
      </c>
      <c r="AT105" s="87">
        <f t="shared" ca="1" si="308"/>
        <v>1</v>
      </c>
      <c r="AU105" s="330">
        <f t="shared" ca="1" si="299"/>
        <v>1</v>
      </c>
      <c r="AV105" s="182" t="str">
        <f t="shared" ca="1" si="300"/>
        <v>Suecia</v>
      </c>
      <c r="AW105" s="215"/>
      <c r="AX105" s="170"/>
      <c r="AY105" s="276"/>
      <c r="AZ105" s="279" t="str">
        <f t="shared" ca="1" si="303"/>
        <v>1D - 3B</v>
      </c>
      <c r="BA105" s="176"/>
      <c r="BF105" t="str">
        <f t="shared" ca="1" si="304"/>
        <v>I</v>
      </c>
      <c r="BG105">
        <f t="shared" ca="1" si="305"/>
        <v>6</v>
      </c>
      <c r="BI105">
        <v>3</v>
      </c>
      <c r="BJ105" t="str">
        <f t="shared" ca="1" si="306"/>
        <v>C</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46203.708333333336</v>
      </c>
      <c r="Y106" s="25">
        <f ca="1">Horarios!C106</f>
        <v>46203.708333333336</v>
      </c>
      <c r="Z106" s="280">
        <f t="shared" si="296"/>
        <v>77</v>
      </c>
      <c r="AA106" s="88" t="str">
        <f t="shared" ca="1" si="292"/>
        <v>Francia</v>
      </c>
      <c r="AB106" s="89"/>
      <c r="AC106" s="92">
        <v>1</v>
      </c>
      <c r="AD106" s="92">
        <v>0</v>
      </c>
      <c r="AE106" s="89"/>
      <c r="AF106" s="91" t="str">
        <f t="shared" ca="1" si="293"/>
        <v>Suecia</v>
      </c>
      <c r="AG106" s="327">
        <f t="shared" ca="1" si="294"/>
        <v>1</v>
      </c>
      <c r="AH106" s="195">
        <v>77</v>
      </c>
      <c r="AI106" s="182">
        <v>5</v>
      </c>
      <c r="AJ106" s="42">
        <v>5</v>
      </c>
      <c r="AK106" s="602" t="e" cm="1" vm="20">
        <f t="array" aca="1" ref="AK106" ca="1">Ver_flag_visit</f>
        <v>#VALUE!</v>
      </c>
      <c r="AL106" s="85" t="str">
        <f t="shared" ca="1" si="297"/>
        <v>Costa de Marfil</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5</v>
      </c>
      <c r="AT106" s="87">
        <f t="shared" ca="1" si="309"/>
        <v>-1</v>
      </c>
      <c r="AU106" s="330">
        <f t="shared" ca="1" si="299"/>
        <v>1</v>
      </c>
      <c r="AV106" s="182" t="str">
        <f t="shared" ca="1" si="300"/>
        <v>Costa de Marfil</v>
      </c>
      <c r="AW106" s="215"/>
      <c r="AX106" s="170"/>
      <c r="AY106" s="276"/>
      <c r="AZ106" s="279" t="str">
        <f t="shared" ca="1" si="303"/>
        <v>1E - 3C</v>
      </c>
      <c r="BA106" s="176"/>
      <c r="BF106" t="str">
        <f t="shared" ca="1" si="304"/>
        <v>F</v>
      </c>
      <c r="BG106">
        <f t="shared" ca="1" si="305"/>
        <v>5</v>
      </c>
      <c r="BI106">
        <v>4</v>
      </c>
      <c r="BJ106" t="str">
        <f t="shared" ca="1" si="306"/>
        <v>E</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75"/>
      <c r="X107" s="24">
        <f ca="1">Horarios!C107</f>
        <v>46203.875</v>
      </c>
      <c r="Y107" s="25">
        <f ca="1">Horarios!C107</f>
        <v>46203.875</v>
      </c>
      <c r="Z107" s="280">
        <f t="shared" si="296"/>
        <v>79</v>
      </c>
      <c r="AA107" s="88" t="str">
        <f t="shared" ca="1" si="292"/>
        <v>México</v>
      </c>
      <c r="AB107" s="89"/>
      <c r="AC107" s="92">
        <v>1</v>
      </c>
      <c r="AD107" s="92">
        <v>0</v>
      </c>
      <c r="AE107" s="89"/>
      <c r="AF107" s="91" t="str">
        <f t="shared" ca="1" si="293"/>
        <v>Costa de Marfil</v>
      </c>
      <c r="AG107" s="327">
        <f t="shared" ca="1" si="294"/>
        <v>1</v>
      </c>
      <c r="AH107" s="195">
        <v>79</v>
      </c>
      <c r="AI107" s="182">
        <v>6</v>
      </c>
      <c r="AJ107" s="42">
        <v>6</v>
      </c>
      <c r="AK107" s="602" t="e" cm="1" vm="13">
        <f t="array" aca="1" ref="AK107" ca="1">Ver_flag_visit</f>
        <v>#VALUE!</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1</v>
      </c>
      <c r="AV107" s="182" t="str">
        <f ca="1">INDEX($BD$58:$BD$69,MATCH(AI107,$BM$58:$BM$69,0))</f>
        <v>Escocia</v>
      </c>
      <c r="AW107" s="215"/>
      <c r="AX107" s="170"/>
      <c r="AY107" s="276"/>
      <c r="AZ107" s="279" t="str">
        <f t="shared" ca="1" si="303"/>
        <v>1G - 3A</v>
      </c>
      <c r="BA107" s="176"/>
      <c r="BF107" t="str">
        <f t="shared" ca="1" si="304"/>
        <v>E</v>
      </c>
      <c r="BG107">
        <f t="shared" ca="1" si="305"/>
        <v>4</v>
      </c>
      <c r="BI107">
        <v>5</v>
      </c>
      <c r="BJ107" t="str">
        <f t="shared" ca="1" si="306"/>
        <v>F</v>
      </c>
    </row>
    <row r="108" spans="1:62" ht="15.95" customHeight="1">
      <c r="A108" s="16" t="s">
        <v>693</v>
      </c>
      <c r="B108" s="16" t="s">
        <v>736</v>
      </c>
      <c r="C108" s="16"/>
      <c r="D108" s="16" t="str">
        <f t="shared" ca="1" si="289"/>
        <v>Croacia</v>
      </c>
      <c r="E108" s="16" t="s">
        <v>247</v>
      </c>
      <c r="F108" s="16" t="s">
        <v>732</v>
      </c>
      <c r="G108" s="16" t="s">
        <v>447</v>
      </c>
      <c r="H108" s="16">
        <f t="shared" ca="1" si="290"/>
        <v>12</v>
      </c>
      <c r="I108" s="16"/>
      <c r="J108" s="16">
        <v>80</v>
      </c>
      <c r="K108" s="16">
        <v>46204.75</v>
      </c>
      <c r="L108" s="16" t="s">
        <v>703</v>
      </c>
      <c r="M108" s="16" t="str">
        <f t="shared" ca="1" si="291"/>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75"/>
      <c r="X108" s="24">
        <f ca="1">Horarios!C108</f>
        <v>46204.5</v>
      </c>
      <c r="Y108" s="25">
        <f ca="1">Horarios!C108</f>
        <v>46204.5</v>
      </c>
      <c r="Z108" s="280">
        <f t="shared" si="296"/>
        <v>80</v>
      </c>
      <c r="AA108" s="88" t="str">
        <f t="shared" ca="1" si="292"/>
        <v>Croacia</v>
      </c>
      <c r="AB108" s="89"/>
      <c r="AC108" s="92">
        <v>1</v>
      </c>
      <c r="AD108" s="92">
        <v>0</v>
      </c>
      <c r="AE108" s="89"/>
      <c r="AF108" s="91" t="str">
        <f t="shared" ca="1" si="293"/>
        <v>Uzbekistán</v>
      </c>
      <c r="AG108" s="327">
        <f t="shared" ca="1" si="294"/>
        <v>1</v>
      </c>
      <c r="AH108" s="195">
        <v>80</v>
      </c>
      <c r="AI108" s="182">
        <v>7</v>
      </c>
      <c r="AJ108" s="42">
        <v>7</v>
      </c>
      <c r="AK108" s="602" t="e" cm="1" vm="6">
        <f t="array" aca="1" ref="AK108" ca="1">Ver_flag_visit</f>
        <v>#VALUE!</v>
      </c>
      <c r="AL108" s="85" t="str">
        <f t="shared" ca="1" si="297"/>
        <v>Bosnia y Herzegovina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2</v>
      </c>
      <c r="AS108" s="86">
        <f t="shared" ca="1" si="311"/>
        <v>4</v>
      </c>
      <c r="AT108" s="87">
        <f t="shared" ca="1" si="311"/>
        <v>-2</v>
      </c>
      <c r="AU108" s="330">
        <f t="shared" ca="1" si="299"/>
        <v>1</v>
      </c>
      <c r="AV108" s="182" t="str">
        <f t="shared" ca="1" si="300"/>
        <v>Bosnia y Herzegovina</v>
      </c>
      <c r="AW108" s="215"/>
      <c r="AX108" s="170"/>
      <c r="AY108" s="276"/>
      <c r="AZ108" s="279" t="str">
        <f t="shared" ca="1" si="303"/>
        <v>1I - 3F</v>
      </c>
      <c r="BA108" s="176"/>
      <c r="BF108" t="str">
        <f t="shared" ca="1" si="304"/>
        <v>C</v>
      </c>
      <c r="BG108">
        <f t="shared" ca="1" si="305"/>
        <v>3</v>
      </c>
      <c r="BI108">
        <v>6</v>
      </c>
      <c r="BJ108" t="str">
        <f t="shared" ca="1" si="306"/>
        <v>I</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46204.666666666664</v>
      </c>
      <c r="Y109" s="25">
        <f ca="1">Horarios!C109</f>
        <v>46204.666666666664</v>
      </c>
      <c r="Z109" s="280">
        <f t="shared" si="296"/>
        <v>82</v>
      </c>
      <c r="AA109" s="88" t="str">
        <f t="shared" ca="1" si="292"/>
        <v>Bélgica</v>
      </c>
      <c r="AB109" s="89"/>
      <c r="AC109" s="92">
        <v>1</v>
      </c>
      <c r="AD109" s="92">
        <v>0</v>
      </c>
      <c r="AE109" s="89"/>
      <c r="AF109" s="91" t="str">
        <f t="shared" ca="1" si="293"/>
        <v>Corea del Sur</v>
      </c>
      <c r="AG109" s="327">
        <f t="shared" ca="1" si="294"/>
        <v>1</v>
      </c>
      <c r="AH109" s="195">
        <v>82</v>
      </c>
      <c r="AI109" s="182">
        <v>8</v>
      </c>
      <c r="AJ109" s="42">
        <v>8</v>
      </c>
      <c r="AK109" s="602" t="e" cm="1" vm="44">
        <f t="array" aca="1" ref="AK109" ca="1">Ver_flag_visit</f>
        <v>#VALUE!</v>
      </c>
      <c r="AL109" s="85" t="str">
        <f t="shared" ca="1" si="297"/>
        <v>Uzbekistán</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1</v>
      </c>
      <c r="AS109" s="86">
        <f t="shared" ca="1" si="312"/>
        <v>4</v>
      </c>
      <c r="AT109" s="87">
        <f t="shared" ca="1" si="312"/>
        <v>-3</v>
      </c>
      <c r="AU109" s="330">
        <f t="shared" ca="1" si="299"/>
        <v>1</v>
      </c>
      <c r="AV109" s="182" t="str">
        <f t="shared" ca="1" si="300"/>
        <v>Uzbekistán</v>
      </c>
      <c r="AW109" s="215"/>
      <c r="AX109" s="170"/>
      <c r="AY109" s="276"/>
      <c r="AZ109" s="279" t="str">
        <f t="shared" ca="1" si="303"/>
        <v>1K - 3L</v>
      </c>
      <c r="BA109" s="176"/>
      <c r="BF109" t="str">
        <f t="shared" ca="1" si="304"/>
        <v>B</v>
      </c>
      <c r="BG109">
        <f t="shared" ca="1" si="305"/>
        <v>2</v>
      </c>
      <c r="BI109">
        <v>7</v>
      </c>
      <c r="BJ109" t="str">
        <f t="shared" ca="1" si="306"/>
        <v>K</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75"/>
      <c r="X110" s="24">
        <f ca="1">Horarios!C110</f>
        <v>46204.833333333336</v>
      </c>
      <c r="Y110" s="25">
        <f ca="1">Horarios!C110</f>
        <v>46204.833333333336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e" cm="1" vm="32">
        <f t="array" aca="1" ref="AK110" ca="1">Ver_flag_visit</f>
        <v>#VALUE!</v>
      </c>
      <c r="AL110" s="85" t="str">
        <f t="shared" ca="1" si="297"/>
        <v>Arabia Saudita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1</v>
      </c>
      <c r="AS110" s="86">
        <f t="shared" ca="1" si="313"/>
        <v>5</v>
      </c>
      <c r="AT110" s="87">
        <f t="shared" ca="1" si="313"/>
        <v>-4</v>
      </c>
      <c r="AU110" s="330">
        <f t="shared" ca="1" si="299"/>
        <v>1</v>
      </c>
      <c r="AV110" s="182" t="str">
        <f t="shared" ca="1" si="300"/>
        <v>Arabia Saudita</v>
      </c>
      <c r="AW110" s="215"/>
      <c r="AX110" s="170"/>
      <c r="AY110" s="276"/>
      <c r="AZ110" s="279" t="str">
        <f t="shared" ca="1" si="303"/>
        <v>1L - 3K</v>
      </c>
      <c r="BA110" s="176"/>
      <c r="BF110" t="str">
        <f t="shared" ca="1" si="304"/>
        <v>K</v>
      </c>
      <c r="BG110">
        <f t="shared" ca="1" si="305"/>
        <v>7</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75"/>
      <c r="X111" s="24">
        <f ca="1">Horarios!C111</f>
        <v>46205.625</v>
      </c>
      <c r="Y111" s="25">
        <f ca="1">Horarios!C111</f>
        <v>46205.625</v>
      </c>
      <c r="Z111" s="280">
        <f t="shared" si="296"/>
        <v>84</v>
      </c>
      <c r="AA111" s="88" t="str">
        <f t="shared" ca="1" si="292"/>
        <v>España</v>
      </c>
      <c r="AB111" s="89"/>
      <c r="AC111" s="92">
        <v>1</v>
      </c>
      <c r="AD111" s="92">
        <v>0</v>
      </c>
      <c r="AE111" s="89"/>
      <c r="AF111" s="91" t="str">
        <f t="shared" ca="1" si="293"/>
        <v>Argentina</v>
      </c>
      <c r="AG111" s="327">
        <f t="shared" ca="1" si="294"/>
        <v>1</v>
      </c>
      <c r="AH111" s="195">
        <v>84</v>
      </c>
      <c r="AI111" s="182">
        <v>10</v>
      </c>
      <c r="AJ111" s="42">
        <v>10</v>
      </c>
      <c r="AK111" s="602" t="e" cm="1" vm="15">
        <f t="array" aca="1" ref="AK111" ca="1">Ver_flag_visit</f>
        <v>#VALUE!</v>
      </c>
      <c r="AL111" s="85" t="str">
        <f t="shared" ca="1" si="297"/>
        <v>Paraguay</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1</v>
      </c>
      <c r="AS111" s="86">
        <f t="shared" ca="1" si="314"/>
        <v>2</v>
      </c>
      <c r="AT111" s="87">
        <f t="shared" ca="1" si="314"/>
        <v>-1</v>
      </c>
      <c r="AU111" s="330">
        <f t="shared" ca="1" si="299"/>
        <v>1</v>
      </c>
      <c r="AV111" s="182" t="str">
        <f t="shared" ca="1" si="300"/>
        <v>Paraguay</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Argentina</v>
      </c>
      <c r="O112" s="16"/>
      <c r="P112" s="16"/>
      <c r="Q112" s="16"/>
      <c r="R112" s="16"/>
      <c r="S112" s="16"/>
      <c r="T112" s="16"/>
      <c r="U112" s="16"/>
      <c r="V112" s="17"/>
      <c r="W112" s="675"/>
      <c r="X112" s="24">
        <f ca="1">Horarios!C112</f>
        <v>46205.791666666664</v>
      </c>
      <c r="Y112" s="25">
        <f ca="1">Horarios!C112</f>
        <v>46205.791666666664</v>
      </c>
      <c r="Z112" s="280">
        <f t="shared" si="296"/>
        <v>83</v>
      </c>
      <c r="AA112" s="88" t="str">
        <f t="shared" ca="1" si="292"/>
        <v>Colombia</v>
      </c>
      <c r="AB112" s="89"/>
      <c r="AC112" s="92">
        <v>1</v>
      </c>
      <c r="AD112" s="92">
        <v>0</v>
      </c>
      <c r="AE112" s="89"/>
      <c r="AF112" s="91" t="str">
        <f t="shared" ca="1" si="293"/>
        <v>Inglaterra</v>
      </c>
      <c r="AG112" s="327">
        <f t="shared" ca="1" si="294"/>
        <v>1</v>
      </c>
      <c r="AH112" s="195">
        <v>83</v>
      </c>
      <c r="AI112" s="182">
        <v>11</v>
      </c>
      <c r="AJ112" s="42">
        <v>11</v>
      </c>
      <c r="AK112" s="602" t="e" cm="1" vm="39">
        <f t="array" aca="1" ref="AK112" ca="1">Ver_flag_visit</f>
        <v>#VALUE!</v>
      </c>
      <c r="AL112" s="85" t="str">
        <f t="shared" ca="1" si="297"/>
        <v>Argelia</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0</v>
      </c>
      <c r="AS112" s="86">
        <f t="shared" ca="1" si="315"/>
        <v>3</v>
      </c>
      <c r="AT112" s="87">
        <f t="shared" ca="1" si="315"/>
        <v>-3</v>
      </c>
      <c r="AU112" s="330">
        <f t="shared" ca="1" si="299"/>
        <v>2</v>
      </c>
      <c r="AV112" s="182" t="str">
        <f t="shared" ca="1" si="300"/>
        <v>Argelia</v>
      </c>
      <c r="AW112" s="215">
        <v>11</v>
      </c>
      <c r="AX112" s="170"/>
      <c r="AY112" s="275"/>
      <c r="AZ112" s="275"/>
      <c r="BA112" s="176"/>
      <c r="BI112" t="str">
        <f ca="1">IFERROR(CONCATENATE(BJ103,BJ104,BJ105,BJ106,BJ107,BJ108,BJ109,BJ110),"¿A/B/C/D/E/F/G/H/I/J/K/L?")</f>
        <v>ABCEFIKL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Senegal</v>
      </c>
      <c r="O113" s="16"/>
      <c r="P113" s="16"/>
      <c r="Q113" s="16"/>
      <c r="R113" s="16"/>
      <c r="S113" s="16"/>
      <c r="T113" s="16"/>
      <c r="U113" s="16"/>
      <c r="V113" s="17"/>
      <c r="W113" s="675"/>
      <c r="X113" s="24">
        <f ca="1">Horarios!C113</f>
        <v>46205.958333333336</v>
      </c>
      <c r="Y113" s="25">
        <f ca="1">Horarios!C113</f>
        <v>46205.958333333336</v>
      </c>
      <c r="Z113" s="280">
        <f t="shared" si="296"/>
        <v>85</v>
      </c>
      <c r="AA113" s="88" t="str">
        <f t="shared" ca="1" si="292"/>
        <v>Suiza</v>
      </c>
      <c r="AB113" s="89"/>
      <c r="AC113" s="92">
        <v>1</v>
      </c>
      <c r="AD113" s="92">
        <v>0</v>
      </c>
      <c r="AE113" s="90"/>
      <c r="AF113" s="91" t="str">
        <f t="shared" ca="1" si="293"/>
        <v>Senegal</v>
      </c>
      <c r="AG113" s="327">
        <f t="shared" ca="1" si="294"/>
        <v>1</v>
      </c>
      <c r="AH113" s="195">
        <v>85</v>
      </c>
      <c r="AI113" s="182">
        <v>12</v>
      </c>
      <c r="AJ113" s="44">
        <v>12</v>
      </c>
      <c r="AK113" s="604" t="e" cm="1" vm="29">
        <f t="array" aca="1" ref="AK113" ca="1">Ver_flag_visit</f>
        <v>#VALUE!</v>
      </c>
      <c r="AL113" s="45" t="str">
        <f t="shared" ca="1" si="297"/>
        <v>Nueva Zelanda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30">
        <f t="shared" ca="1" si="299"/>
        <v>2</v>
      </c>
      <c r="AV113" s="182" t="str">
        <f t="shared" ca="1" si="300"/>
        <v>Nueva Zelanda</v>
      </c>
      <c r="AW113" s="215"/>
      <c r="AX113" s="170"/>
      <c r="AY113" s="154"/>
      <c r="AZ113" s="155"/>
      <c r="BA113" s="176"/>
    </row>
    <row r="114" spans="1:59" ht="15.95" customHeight="1">
      <c r="A114" s="16" t="s">
        <v>687</v>
      </c>
      <c r="B114" s="16" t="s">
        <v>682</v>
      </c>
      <c r="C114" s="16"/>
      <c r="D114" s="16" t="str">
        <f t="shared" ca="1" si="289"/>
        <v>Turquía</v>
      </c>
      <c r="E114" s="16" t="s">
        <v>5</v>
      </c>
      <c r="F114" s="16" t="s">
        <v>447</v>
      </c>
      <c r="G114" s="16"/>
      <c r="H114" s="16"/>
      <c r="I114" s="16"/>
      <c r="J114" s="16">
        <v>86</v>
      </c>
      <c r="K114" s="16">
        <v>46206.75</v>
      </c>
      <c r="L114" s="16" t="s">
        <v>709</v>
      </c>
      <c r="M114" s="16" t="str">
        <f t="shared" ca="1" si="291"/>
        <v>Austria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75"/>
      <c r="X114" s="24">
        <f ca="1">Horarios!C114</f>
        <v>46206.583333333336</v>
      </c>
      <c r="Y114" s="25">
        <f ca="1">Horarios!C114</f>
        <v>46206.583333333336</v>
      </c>
      <c r="Z114" s="280">
        <f t="shared" si="296"/>
        <v>88</v>
      </c>
      <c r="AA114" s="88" t="str">
        <f t="shared" ca="1" si="292"/>
        <v>Turquía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Austria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46206.75</v>
      </c>
      <c r="Y115" s="25">
        <f ca="1">Horarios!C115</f>
        <v>46206.75</v>
      </c>
      <c r="Z115" s="280">
        <f t="shared" si="296"/>
        <v>86</v>
      </c>
      <c r="AA115" s="88" t="str">
        <f t="shared" ca="1" si="292"/>
        <v>Austria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46206.895833333336</v>
      </c>
      <c r="Y116" s="29">
        <f ca="1">Horarios!C116</f>
        <v>46206.895833333336</v>
      </c>
      <c r="Z116" s="281">
        <f t="shared" si="296"/>
        <v>87</v>
      </c>
      <c r="AA116" s="93" t="str">
        <f t="shared" ca="1" si="292"/>
        <v>Portugal</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3I</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República Checa</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46207.541666666664</v>
      </c>
      <c r="Y120" s="25">
        <f ca="1">Horarios!C120</f>
        <v>46207.541666666664</v>
      </c>
      <c r="Z120" s="280">
        <f t="shared" ref="Z120:Z127" si="319">AH120</f>
        <v>90</v>
      </c>
      <c r="AA120" s="88" t="str">
        <f t="shared" ref="AA120:AA127" ca="1" si="320">+INDEX($M$101:$M$147,MATCH(AH120,$J$101:$J$147,0))</f>
        <v>República Checa</v>
      </c>
      <c r="AB120" s="89"/>
      <c r="AC120" s="96">
        <v>1</v>
      </c>
      <c r="AD120" s="96">
        <v>0</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5.95" customHeight="1">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República Checa</v>
      </c>
      <c r="N121" s="16" t="str">
        <f t="shared" ca="1" si="318"/>
        <v>Países Bajos</v>
      </c>
      <c r="O121" s="16"/>
      <c r="P121" s="16"/>
      <c r="Q121" s="16"/>
      <c r="R121" s="16"/>
      <c r="S121" s="16"/>
      <c r="T121" s="16"/>
      <c r="U121" s="16"/>
      <c r="V121" s="17"/>
      <c r="W121" s="677"/>
      <c r="X121" s="24">
        <f ca="1">Horarios!C121</f>
        <v>46207.708333333336</v>
      </c>
      <c r="Y121" s="25">
        <f ca="1">Horarios!C121</f>
        <v>46207.708333333336</v>
      </c>
      <c r="Z121" s="280">
        <f t="shared" si="319"/>
        <v>89</v>
      </c>
      <c r="AA121" s="88" t="str">
        <f t="shared" ca="1" si="320"/>
        <v>Alemania</v>
      </c>
      <c r="AB121" s="89"/>
      <c r="AC121" s="97">
        <v>1</v>
      </c>
      <c r="AD121" s="97">
        <v>0</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Marruecos</v>
      </c>
      <c r="E122" s="16">
        <v>76</v>
      </c>
      <c r="F122" s="16">
        <v>78</v>
      </c>
      <c r="G122" s="16"/>
      <c r="H122" s="16"/>
      <c r="I122" s="16"/>
      <c r="J122" s="16">
        <v>91</v>
      </c>
      <c r="K122" s="16">
        <v>46208.75</v>
      </c>
      <c r="L122" s="16" t="s">
        <v>714</v>
      </c>
      <c r="M122" s="16" t="str">
        <f t="shared" ca="1" si="318"/>
        <v>Marruecos</v>
      </c>
      <c r="N122" s="16" t="str">
        <f t="shared" ca="1" si="318"/>
        <v>Ecuador</v>
      </c>
      <c r="O122" s="16"/>
      <c r="P122" s="16"/>
      <c r="Q122" s="16"/>
      <c r="R122" s="16"/>
      <c r="S122" s="16"/>
      <c r="T122" s="16"/>
      <c r="U122" s="16"/>
      <c r="V122" s="17"/>
      <c r="W122" s="677"/>
      <c r="X122" s="24">
        <f ca="1">Horarios!C122</f>
        <v>46208.666666666664</v>
      </c>
      <c r="Y122" s="25">
        <f ca="1">Horarios!C122</f>
        <v>46208.666666666664</v>
      </c>
      <c r="Z122" s="280">
        <f t="shared" si="319"/>
        <v>91</v>
      </c>
      <c r="AA122" s="88" t="str">
        <f t="shared" ca="1" si="320"/>
        <v>Marruecos</v>
      </c>
      <c r="AB122" s="89"/>
      <c r="AC122" s="97">
        <v>1</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Croacia</v>
      </c>
      <c r="O123" s="16"/>
      <c r="P123" s="16"/>
      <c r="Q123" s="16"/>
      <c r="R123" s="16"/>
      <c r="S123" s="16"/>
      <c r="T123" s="16"/>
      <c r="U123" s="16"/>
      <c r="V123" s="17"/>
      <c r="W123" s="677"/>
      <c r="X123" s="24">
        <f ca="1">Horarios!C123</f>
        <v>46208.833333333336</v>
      </c>
      <c r="Y123" s="25">
        <f ca="1">Horarios!C123</f>
        <v>46208.833333333336</v>
      </c>
      <c r="Z123" s="280">
        <f t="shared" si="319"/>
        <v>92</v>
      </c>
      <c r="AA123" s="88" t="str">
        <f t="shared" ca="1" si="320"/>
        <v>México</v>
      </c>
      <c r="AB123" s="89"/>
      <c r="AC123" s="97">
        <v>1</v>
      </c>
      <c r="AD123" s="97">
        <v>0</v>
      </c>
      <c r="AE123" s="89"/>
      <c r="AF123" s="91" t="str">
        <f t="shared" ca="1" si="321"/>
        <v>Croacia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77"/>
      <c r="X124" s="24">
        <f ca="1">Horarios!C124</f>
        <v>46209.625</v>
      </c>
      <c r="Y124" s="25">
        <f ca="1">Horarios!C124</f>
        <v>46209.625</v>
      </c>
      <c r="Z124" s="280">
        <f t="shared" si="319"/>
        <v>93</v>
      </c>
      <c r="AA124" s="88" t="str">
        <f t="shared" ca="1" si="320"/>
        <v>Colombia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77"/>
      <c r="X125" s="24">
        <f ca="1">Horarios!C125</f>
        <v>46209.833333333336</v>
      </c>
      <c r="Y125" s="25">
        <f ca="1">Horarios!C125</f>
        <v>46209.833333333336</v>
      </c>
      <c r="Z125" s="280">
        <f t="shared" si="319"/>
        <v>94</v>
      </c>
      <c r="AA125" s="88" t="str">
        <f t="shared" ca="1" si="320"/>
        <v>Estados Unidos</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Austria</v>
      </c>
      <c r="E126" s="16">
        <v>86</v>
      </c>
      <c r="F126" s="16">
        <v>88</v>
      </c>
      <c r="G126" s="16"/>
      <c r="H126" s="16"/>
      <c r="I126" s="16"/>
      <c r="J126" s="16">
        <v>95</v>
      </c>
      <c r="K126" s="16">
        <v>46210.75</v>
      </c>
      <c r="L126" s="16" t="s">
        <v>718</v>
      </c>
      <c r="M126" s="16" t="str">
        <f t="shared" ca="1" si="318"/>
        <v>Austria</v>
      </c>
      <c r="N126" s="16" t="str">
        <f t="shared" ca="1" si="318"/>
        <v>Turquía</v>
      </c>
      <c r="O126" s="16"/>
      <c r="P126" s="16"/>
      <c r="Q126" s="16"/>
      <c r="R126" s="16"/>
      <c r="S126" s="16"/>
      <c r="T126" s="16"/>
      <c r="U126" s="16"/>
      <c r="V126" s="17"/>
      <c r="W126" s="677"/>
      <c r="X126" s="24">
        <f ca="1">Horarios!C126</f>
        <v>46210.5</v>
      </c>
      <c r="Y126" s="25">
        <f ca="1">Horarios!C126</f>
        <v>46210.5</v>
      </c>
      <c r="Z126" s="280">
        <f t="shared" si="319"/>
        <v>95</v>
      </c>
      <c r="AA126" s="88" t="str">
        <f t="shared" ca="1" si="320"/>
        <v>Austria</v>
      </c>
      <c r="AB126" s="89"/>
      <c r="AC126" s="99">
        <v>1</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78"/>
      <c r="X127" s="28">
        <f ca="1">Horarios!C127</f>
        <v>46210.666666666664</v>
      </c>
      <c r="Y127" s="29">
        <f ca="1">Horarios!C127</f>
        <v>46210.666666666664</v>
      </c>
      <c r="Z127" s="281">
        <f t="shared" si="319"/>
        <v>96</v>
      </c>
      <c r="AA127" s="93" t="str">
        <f t="shared" ca="1" si="320"/>
        <v>Suiza</v>
      </c>
      <c r="AB127" s="94"/>
      <c r="AC127" s="100">
        <v>1</v>
      </c>
      <c r="AD127" s="100">
        <v>0</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720</v>
      </c>
      <c r="M131" s="16" t="str">
        <f t="shared" ref="M131:N134" ca="1" si="323">+INDEX($D$101:$D$147,MATCH(E131,$AH$101:$AH$147,0))</f>
        <v>Alemania</v>
      </c>
      <c r="N131" s="16" t="str">
        <f t="shared" ca="1" si="323"/>
        <v>República Checa</v>
      </c>
      <c r="O131" s="16"/>
      <c r="P131" s="16"/>
      <c r="Q131" s="16"/>
      <c r="R131" s="16"/>
      <c r="S131" s="16"/>
      <c r="T131" s="16"/>
      <c r="U131" s="16"/>
      <c r="V131" s="17"/>
      <c r="W131" s="679" t="s">
        <v>36</v>
      </c>
      <c r="X131" s="24">
        <f ca="1">Horarios!C131</f>
        <v>46212.666666666664</v>
      </c>
      <c r="Y131" s="25">
        <f ca="1">Horarios!C131</f>
        <v>46212.666666666664</v>
      </c>
      <c r="Z131" s="282">
        <f t="shared" ref="Z131:Z134" si="324">AH131</f>
        <v>97</v>
      </c>
      <c r="AA131" s="88" t="str">
        <f t="shared" ref="AA131:AA134" ca="1" si="325">+INDEX($M$101:$M$147,MATCH(AH131,$J$101:$J$147,0))</f>
        <v>Alemania</v>
      </c>
      <c r="AB131" s="98"/>
      <c r="AC131" s="96">
        <v>1</v>
      </c>
      <c r="AD131" s="96">
        <v>0</v>
      </c>
      <c r="AE131" s="90"/>
      <c r="AF131" s="116" t="str">
        <f ca="1">+INDEX($N$101:$N$147,MATCH(AH131,$J$101:$J$147,0))</f>
        <v>República Checa</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79"/>
      <c r="X132" s="24">
        <f ca="1">Horarios!C132</f>
        <v>46213.625</v>
      </c>
      <c r="Y132" s="25">
        <f ca="1">Horarios!C132</f>
        <v>46213.625</v>
      </c>
      <c r="Z132" s="282">
        <f t="shared" si="324"/>
        <v>98</v>
      </c>
      <c r="AA132" s="88" t="str">
        <f t="shared" ca="1" si="325"/>
        <v>España</v>
      </c>
      <c r="AB132" s="89"/>
      <c r="AC132" s="99">
        <v>1</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Marruecos</v>
      </c>
      <c r="E133" s="16">
        <v>91</v>
      </c>
      <c r="F133" s="16">
        <v>92</v>
      </c>
      <c r="G133" s="16"/>
      <c r="H133" s="16"/>
      <c r="I133" s="16"/>
      <c r="J133" s="16">
        <v>99</v>
      </c>
      <c r="K133" s="16">
        <v>46214.75</v>
      </c>
      <c r="L133" s="16" t="s">
        <v>722</v>
      </c>
      <c r="M133" s="16" t="str">
        <f t="shared" ca="1" si="323"/>
        <v>Marruecos</v>
      </c>
      <c r="N133" s="16" t="str">
        <f t="shared" ca="1" si="323"/>
        <v>México</v>
      </c>
      <c r="O133" s="16"/>
      <c r="P133" s="16"/>
      <c r="Q133" s="16"/>
      <c r="R133" s="16"/>
      <c r="S133" s="16"/>
      <c r="T133" s="16"/>
      <c r="U133" s="16"/>
      <c r="V133" s="17"/>
      <c r="W133" s="679"/>
      <c r="X133" s="24">
        <f ca="1">Horarios!C133</f>
        <v>46214.708333333336</v>
      </c>
      <c r="Y133" s="25">
        <f ca="1">Horarios!C133</f>
        <v>46214.708333333336</v>
      </c>
      <c r="Z133" s="282">
        <f t="shared" si="324"/>
        <v>99</v>
      </c>
      <c r="AA133" s="88" t="str">
        <f t="shared" ca="1" si="325"/>
        <v>Marruecos</v>
      </c>
      <c r="AB133" s="89"/>
      <c r="AC133" s="99">
        <v>1</v>
      </c>
      <c r="AD133" s="99">
        <v>0</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Austria</v>
      </c>
      <c r="E134" s="16">
        <v>95</v>
      </c>
      <c r="F134" s="16">
        <v>96</v>
      </c>
      <c r="G134" s="16"/>
      <c r="H134" s="16"/>
      <c r="I134" s="16"/>
      <c r="J134" s="16">
        <v>100</v>
      </c>
      <c r="K134" s="16">
        <v>46214.875</v>
      </c>
      <c r="L134" s="16" t="s">
        <v>723</v>
      </c>
      <c r="M134" s="16" t="str">
        <f t="shared" ca="1" si="323"/>
        <v>Austria</v>
      </c>
      <c r="N134" s="16" t="str">
        <f t="shared" ca="1" si="323"/>
        <v>Suiza</v>
      </c>
      <c r="O134" s="16"/>
      <c r="P134" s="16"/>
      <c r="Q134" s="16"/>
      <c r="R134" s="16"/>
      <c r="S134" s="16"/>
      <c r="T134" s="16"/>
      <c r="U134" s="16"/>
      <c r="V134" s="17"/>
      <c r="W134" s="680"/>
      <c r="X134" s="28">
        <f ca="1">Horarios!C134</f>
        <v>46214.875</v>
      </c>
      <c r="Y134" s="29">
        <f ca="1">Horarios!C134</f>
        <v>46214.875</v>
      </c>
      <c r="Z134" s="283">
        <f t="shared" si="324"/>
        <v>100</v>
      </c>
      <c r="AA134" s="93" t="str">
        <f t="shared" ca="1" si="325"/>
        <v>Austria</v>
      </c>
      <c r="AB134" s="94"/>
      <c r="AC134" s="100">
        <v>1</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Alemania</v>
      </c>
      <c r="I138" s="16"/>
      <c r="J138" s="16">
        <v>101</v>
      </c>
      <c r="K138" s="16">
        <v>46217.875</v>
      </c>
      <c r="L138" s="16" t="s">
        <v>724</v>
      </c>
      <c r="M138" s="16" t="str">
        <f ca="1">+INDEX($D$101:$D$147,MATCH(E138,$AH$101:$AH$147,0))</f>
        <v>Alemania</v>
      </c>
      <c r="N138" s="16" t="str">
        <f ca="1">+INDEX($D$101:$D$147,MATCH(F138,$AH$101:$AH$147,0))</f>
        <v>España</v>
      </c>
      <c r="O138" s="16"/>
      <c r="P138" s="16"/>
      <c r="Q138" s="16"/>
      <c r="R138" s="16"/>
      <c r="S138" s="16"/>
      <c r="T138" s="16"/>
      <c r="U138" s="16"/>
      <c r="V138" s="17"/>
      <c r="W138" s="681" t="s">
        <v>37</v>
      </c>
      <c r="X138" s="24">
        <f ca="1">Horarios!C138</f>
        <v>46217.625</v>
      </c>
      <c r="Y138" s="25">
        <f ca="1">Horarios!C138</f>
        <v>46217.625</v>
      </c>
      <c r="Z138" s="282">
        <f t="shared" ref="Z138:Z139" si="326">AH138</f>
        <v>101</v>
      </c>
      <c r="AA138" s="88" t="str">
        <f t="shared" ref="AA138:AA139" ca="1" si="327">+INDEX($M$101:$M$147,MATCH(AH138,$J$101:$J$147,0))</f>
        <v>Alemania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Austria</v>
      </c>
      <c r="E139" s="16">
        <v>99</v>
      </c>
      <c r="F139" s="16">
        <v>100</v>
      </c>
      <c r="G139" s="16"/>
      <c r="H139" s="16" t="str">
        <f ca="1">IF(AND(OR(AC139="",AD139="")),"L102",IF(AC139&gt;AD139,AF139,IF(AC139&lt;AD139,AA139,IF(AND(AC139=AD139,AB139=AE139),"W102",IF(AND(AC139=AD139,OR(AB139="",AE139="")),"L102",IF(AND(AC139=AD139,AB139&gt;AE139),AF139,AA139))))))</f>
        <v>Marruecos</v>
      </c>
      <c r="I139" s="16"/>
      <c r="J139" s="16">
        <v>102</v>
      </c>
      <c r="K139" s="16">
        <v>46218.875</v>
      </c>
      <c r="L139" s="16" t="s">
        <v>725</v>
      </c>
      <c r="M139" s="16" t="str">
        <f ca="1">+INDEX($D$101:$D$147,MATCH(E139,$AH$101:$AH$147,0))</f>
        <v>Marruecos</v>
      </c>
      <c r="N139" s="16" t="str">
        <f ca="1">+INDEX($D$101:$D$147,MATCH(F139,$AH$101:$AH$147,0))</f>
        <v>Austria</v>
      </c>
      <c r="O139" s="16"/>
      <c r="P139" s="16"/>
      <c r="Q139" s="16"/>
      <c r="R139" s="16"/>
      <c r="S139" s="16"/>
      <c r="T139" s="16"/>
      <c r="U139" s="16"/>
      <c r="V139" s="17"/>
      <c r="W139" s="682"/>
      <c r="X139" s="123">
        <f ca="1">Horarios!C139</f>
        <v>46218.625</v>
      </c>
      <c r="Y139" s="124">
        <f ca="1">Horarios!C139</f>
        <v>46218.625</v>
      </c>
      <c r="Z139" s="284">
        <f t="shared" si="326"/>
        <v>102</v>
      </c>
      <c r="AA139" s="139" t="str">
        <f t="shared" ca="1" si="327"/>
        <v>Marruecos</v>
      </c>
      <c r="AB139" s="140"/>
      <c r="AC139" s="100">
        <v>0</v>
      </c>
      <c r="AD139" s="100">
        <v>1</v>
      </c>
      <c r="AE139" s="140"/>
      <c r="AF139" s="141" t="str">
        <f ca="1">+INDEX($N$101:$N$147,MATCH(AH139,$J$101:$J$147,0))</f>
        <v>Austria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Alemania</v>
      </c>
      <c r="E143" s="16">
        <v>101</v>
      </c>
      <c r="F143" s="16">
        <v>102</v>
      </c>
      <c r="G143" s="16"/>
      <c r="H143" s="16"/>
      <c r="I143" s="16"/>
      <c r="J143" s="16">
        <v>103</v>
      </c>
      <c r="K143" s="16">
        <v>46221.875</v>
      </c>
      <c r="L143" s="16" t="s">
        <v>726</v>
      </c>
      <c r="M143" s="16" t="str">
        <f ca="1">+INDEX($D$101:$D$147,MATCH(E143,$AH$101:$AH$147,0))</f>
        <v>España</v>
      </c>
      <c r="N143" s="16" t="str">
        <f ca="1">+INDEX($D$101:$D$147,MATCH(F143,$AH$101:$AH$147,0))</f>
        <v>Austria</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Alemania</v>
      </c>
      <c r="AB143" s="216"/>
      <c r="AC143" s="105">
        <v>1</v>
      </c>
      <c r="AD143" s="105">
        <v>0</v>
      </c>
      <c r="AE143" s="216"/>
      <c r="AF143" s="106" t="str">
        <f ca="1">IF(AND(OR(AC139="",AD139="")),"L102",IF(AC139&gt;AD139,AF139,IF(AC139&lt;AD139,AA139,IF(AND(AC139=AD139,AB139=AE139),"L102",IF(AND(AC139=AD139,OR(AB139="",AE139="")),"L102",IF(AND(AC139=AD139,AB139&gt;AE139),AF139,AA139))))))</f>
        <v>Marruecos</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Austria</v>
      </c>
      <c r="I147" s="16"/>
      <c r="J147" s="16">
        <v>104</v>
      </c>
      <c r="K147" s="16">
        <v>46222.875</v>
      </c>
      <c r="L147" s="16" t="s">
        <v>727</v>
      </c>
      <c r="M147" s="16" t="str">
        <f ca="1">+INDEX($D$101:$D$147,MATCH(E147,$AH$101:$AH$147,0))</f>
        <v>España</v>
      </c>
      <c r="N147" s="16" t="str">
        <f ca="1">+INDEX($D$101:$D$147,MATCH(F147,$AH$101:$AH$147,0))</f>
        <v>Austria</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Austria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Austria</v>
      </c>
      <c r="AB151" s="111"/>
      <c r="AC151" s="111"/>
      <c r="AD151" s="111"/>
      <c r="AE151" s="111"/>
      <c r="AF151" s="107"/>
      <c r="AG151" s="327">
        <f ca="1">IF(AA151="LF",0,1)</f>
        <v>1</v>
      </c>
      <c r="AH151" s="184"/>
      <c r="AI151" s="184"/>
      <c r="AJ151" s="643" t="str">
        <f ca="1">IF(SUM(COUNTIF(AG4:AG97,0),COUNTIF(AG101:AG160,0)&gt;0),AL148,AL149)</f>
        <v>PORRA COMPLETA:</v>
      </c>
      <c r="AK151" s="644"/>
      <c r="AL151" s="644"/>
      <c r="AM151" s="644"/>
      <c r="AN151" s="644"/>
      <c r="AO151" s="644"/>
      <c r="AP151" s="644"/>
      <c r="AQ151" s="644"/>
      <c r="AR151" s="644"/>
      <c r="AS151" s="644"/>
      <c r="AT151" s="644"/>
      <c r="AU151" s="64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Alemania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1518</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1519</v>
      </c>
      <c r="AB155" s="400"/>
      <c r="AC155" s="400"/>
      <c r="AD155" s="400"/>
      <c r="AE155" s="400"/>
      <c r="AF155" s="401"/>
      <c r="AG155" s="327">
        <f>IF(AA155=$AH$154,0,IF(AA155="",0,1))</f>
        <v>1</v>
      </c>
      <c r="AH155" s="184"/>
      <c r="AI155" s="184"/>
      <c r="AJ155" s="657" t="str">
        <f ca="1">IF(SUM(COUNTIF(AG4:AG97,0),COUNTIF(AG101:AG160,0)&gt;0),AM148,AM149)</f>
        <v>Guarda el archivo y envialo al administrador de tu porra</v>
      </c>
      <c r="AK155" s="658"/>
      <c r="AL155" s="658"/>
      <c r="AM155" s="658"/>
      <c r="AN155" s="658"/>
      <c r="AO155" s="658"/>
      <c r="AP155" s="658"/>
      <c r="AQ155" s="658"/>
      <c r="AR155" s="658"/>
      <c r="AS155" s="658"/>
      <c r="AT155" s="658"/>
      <c r="AU155" s="659"/>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1519</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00000000000001" customHeight="1" thickBot="1">
      <c r="A2" s="290"/>
      <c r="B2" s="291"/>
      <c r="C2" s="291"/>
      <c r="D2" s="368"/>
      <c r="E2" s="698"/>
      <c r="F2" s="698"/>
      <c r="G2" s="698"/>
      <c r="H2" s="698"/>
      <c r="I2" s="698"/>
      <c r="J2" s="698"/>
      <c r="K2" s="698"/>
      <c r="L2" s="698"/>
      <c r="M2" s="698"/>
      <c r="N2" s="698"/>
    </row>
    <row r="3" spans="1:14" ht="35.1"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8.95" customHeight="1">
      <c r="A5" s="353"/>
      <c r="B5" s="354" t="str">
        <f>Idiomas!D125</f>
        <v>FASE DE GRUPOS</v>
      </c>
      <c r="C5" s="346" t="str">
        <f>Home!C10</f>
        <v>8pi</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X|0-0</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2|0-1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X|1-1</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2|0-2</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1|3-0</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X|0-0</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1|4-1</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2|0-3</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1|1-0</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2|0-1</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1|1-0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1|1-0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1|2-0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X|0-0</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2|0-2</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1|2-1</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X|2-2</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2|1-2</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2|0-1</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2|0-3</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2|0-3</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1|2-0</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1|1-0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1|1-0</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2|1-3</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X|2-2</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1|1-0</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2|0-3</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1|1-0</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2|2-3</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1|1-0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2|0-2</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2|0-1</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1|2-0</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8.9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República Checa</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Marruecos</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Brasil</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Turquía</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Nueva Zelanda</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Irán</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Austria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Argentina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Uzbekistán</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RD Congo</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Croacia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Inglaterra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8.9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República Checa</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Marruecos</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Croacia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Turquía</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Austria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Escocia</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Brasil</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Costa de Marfil</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Uzbekistán</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Corea del Sur</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Argentina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Inglaterra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Senegal</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100000000000001"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Checa-Canadá·1|1-0</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Marruecos-Japón</v>
      </c>
      <c r="C165" s="349" t="str">
        <f ca="1">CONCATENATE(WORLDCUP!AA102,"-",WORLDCUP!AF102,"·",IF(WORLDCUP!AC102&gt;WORLDCUP!AD102,1,IF(WORLDCUP!AC102&lt;WORLDCUP!AD102,2,IF(AND(WORLDCUP!AC102=WORLDCUP!AD102,WORLDCUP!AC102&lt;&gt;"",WORLDCUP!AD102&lt;&gt;""),"X",0))),"|",WORLDCUP!AC102,"-",WORLDCUP!AD102)</f>
        <v>Marruecos-Japón·1|1-0</v>
      </c>
      <c r="D165" s="706"/>
      <c r="E165" s="692"/>
      <c r="F165" s="692"/>
      <c r="G165" s="692"/>
      <c r="H165" s="692"/>
      <c r="I165" s="352"/>
      <c r="J165" s="370"/>
      <c r="K165" s="370"/>
      <c r="L165" s="370"/>
      <c r="M165" s="386"/>
      <c r="N165" s="377"/>
    </row>
    <row r="166" spans="1:14" ht="15" customHeight="1">
      <c r="A166" s="703"/>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Alemania-Escocia·1|1-0</v>
      </c>
      <c r="D166" s="706"/>
      <c r="E166" s="692"/>
      <c r="F166" s="692"/>
      <c r="G166" s="692"/>
      <c r="H166" s="692"/>
      <c r="I166" s="352"/>
      <c r="J166" s="370"/>
      <c r="K166" s="370"/>
      <c r="L166" s="370"/>
      <c r="M166" s="386"/>
      <c r="N166" s="377"/>
    </row>
    <row r="167" spans="1:14" ht="15" customHeight="1">
      <c r="A167" s="703"/>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Bajos-Brasil·1|1-0</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Ecuador-Noruega·1|1-0</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Francia-Suecia·1|1-0</v>
      </c>
      <c r="D169" s="706"/>
      <c r="E169" s="370"/>
      <c r="F169" s="370"/>
      <c r="G169" s="370"/>
      <c r="H169" s="370"/>
      <c r="I169" s="352"/>
      <c r="J169" s="370"/>
      <c r="K169" s="370"/>
      <c r="L169" s="370"/>
      <c r="M169" s="386"/>
      <c r="N169" s="377"/>
    </row>
    <row r="170" spans="1:14" ht="15" customHeight="1">
      <c r="A170" s="703"/>
      <c r="B170" s="360" t="str">
        <f ca="1">CONCATENATE(WORLDCUP!AA107,"-",WORLDCUP!AF107)</f>
        <v>México-Costa de Marfil</v>
      </c>
      <c r="C170" s="349" t="str">
        <f ca="1">CONCATENATE(WORLDCUP!AA107,"-",WORLDCUP!AF107,"·",IF(WORLDCUP!AC107&gt;WORLDCUP!AD107,1,IF(WORLDCUP!AC107&lt;WORLDCUP!AD107,2,IF(AND(WORLDCUP!AC107=WORLDCUP!AD107,WORLDCUP!AC107&lt;&gt;"",WORLDCUP!AD107&lt;&gt;""),"X",0))),"|",WORLDCUP!AC107,"-",WORLDCUP!AD107)</f>
        <v>México-Costa de Marfil·1|1-0</v>
      </c>
      <c r="D170" s="706"/>
      <c r="E170" s="370"/>
      <c r="F170" s="370"/>
      <c r="G170" s="370"/>
      <c r="H170" s="370"/>
      <c r="I170" s="352"/>
      <c r="J170" s="370"/>
      <c r="K170" s="370"/>
      <c r="L170" s="370"/>
      <c r="M170" s="386"/>
      <c r="N170" s="377"/>
    </row>
    <row r="171" spans="1:14" ht="15" customHeight="1">
      <c r="A171" s="703"/>
      <c r="B171" s="360" t="str">
        <f ca="1">CONCATENATE(WORLDCUP!AA108,"-",WORLDCUP!AF108)</f>
        <v>Croacia-Uzbekistán</v>
      </c>
      <c r="C171" s="349" t="str">
        <f ca="1">CONCATENATE(WORLDCUP!AA108,"-",WORLDCUP!AF108,"·",IF(WORLDCUP!AC108&gt;WORLDCUP!AD108,1,IF(WORLDCUP!AC108&lt;WORLDCUP!AD108,2,IF(AND(WORLDCUP!AC108=WORLDCUP!AD108,WORLDCUP!AC108&lt;&gt;"",WORLDCUP!AD108&lt;&gt;""),"X",0))),"|",WORLDCUP!AC108,"-",WORLDCUP!AD108)</f>
        <v>Croacia-Uzbekistán·1|1-0</v>
      </c>
      <c r="D171" s="706"/>
      <c r="E171" s="370"/>
      <c r="F171" s="370"/>
      <c r="G171" s="370"/>
      <c r="H171" s="370"/>
      <c r="I171" s="352"/>
      <c r="J171" s="370"/>
      <c r="K171" s="370"/>
      <c r="L171" s="370"/>
      <c r="M171" s="386"/>
      <c r="N171" s="377"/>
    </row>
    <row r="172" spans="1:14" ht="15" customHeight="1">
      <c r="A172" s="703"/>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Sur·1|1-0</v>
      </c>
      <c r="D172" s="706"/>
      <c r="E172" s="370"/>
      <c r="F172" s="370"/>
      <c r="G172" s="370"/>
      <c r="H172" s="370"/>
      <c r="I172" s="352"/>
      <c r="J172" s="370"/>
      <c r="K172" s="370"/>
      <c r="L172" s="370"/>
      <c r="M172" s="386"/>
      <c r="N172" s="377"/>
    </row>
    <row r="173" spans="1:14" ht="15" customHeight="1">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706"/>
      <c r="E173" s="370"/>
      <c r="F173" s="370"/>
      <c r="G173" s="370"/>
      <c r="H173" s="370"/>
      <c r="I173" s="352"/>
      <c r="J173" s="370"/>
      <c r="K173" s="370"/>
      <c r="L173" s="370"/>
      <c r="M173" s="386"/>
      <c r="N173" s="377"/>
    </row>
    <row r="174" spans="1:14" ht="15" customHeight="1">
      <c r="A174" s="703"/>
      <c r="B174" s="360" t="str">
        <f ca="1">CONCATENATE(WORLDCUP!AA111,"-",WORLDCUP!AF111)</f>
        <v>España-Argentina</v>
      </c>
      <c r="C174" s="349" t="str">
        <f ca="1">CONCATENATE(WORLDCUP!AA111,"-",WORLDCUP!AF111,"·",IF(WORLDCUP!AC111&gt;WORLDCUP!AD111,1,IF(WORLDCUP!AC111&lt;WORLDCUP!AD111,2,IF(AND(WORLDCUP!AC111=WORLDCUP!AD111,WORLDCUP!AC111&lt;&gt;"",WORLDCUP!AD111&lt;&gt;""),"X",0))),"|",WORLDCUP!AC111,"-",WORLDCUP!AD111)</f>
        <v>España-Argentina·1|1-0</v>
      </c>
      <c r="D174" s="706"/>
      <c r="E174" s="370"/>
      <c r="F174" s="370"/>
      <c r="G174" s="370"/>
      <c r="H174" s="370"/>
      <c r="I174" s="352"/>
      <c r="J174" s="370"/>
      <c r="K174" s="370"/>
      <c r="L174" s="370"/>
      <c r="M174" s="386"/>
      <c r="N174" s="377"/>
    </row>
    <row r="175" spans="1:14" ht="15" customHeight="1">
      <c r="A175" s="703"/>
      <c r="B175" s="360" t="str">
        <f ca="1">CONCATENATE(WORLDCUP!AA112,"-",WORLDCUP!AF112)</f>
        <v>Colombia-Inglaterra</v>
      </c>
      <c r="C175" s="349" t="str">
        <f ca="1">CONCATENATE(WORLDCUP!AA112,"-",WORLDCUP!AF112,"·",IF(WORLDCUP!AC112&gt;WORLDCUP!AD112,1,IF(WORLDCUP!AC112&lt;WORLDCUP!AD112,2,IF(AND(WORLDCUP!AC112=WORLDCUP!AD112,WORLDCUP!AC112&lt;&gt;"",WORLDCUP!AD112&lt;&gt;""),"X",0))),"|",WORLDCUP!AC112,"-",WORLDCUP!AD112)</f>
        <v>Colombia-Inglaterra·1|1-0</v>
      </c>
      <c r="D175" s="706"/>
      <c r="E175" s="370"/>
      <c r="F175" s="370"/>
      <c r="G175" s="370"/>
      <c r="H175" s="370"/>
      <c r="I175" s="352"/>
      <c r="J175" s="370"/>
      <c r="K175" s="370"/>
      <c r="L175" s="370"/>
      <c r="M175" s="386"/>
      <c r="N175" s="377"/>
    </row>
    <row r="176" spans="1:14" ht="15" customHeight="1">
      <c r="A176" s="703"/>
      <c r="B176" s="360" t="str">
        <f ca="1">CONCATENATE(WORLDCUP!AA113,"-",WORLDCUP!AF113)</f>
        <v>Suiza-Senegal</v>
      </c>
      <c r="C176" s="349" t="str">
        <f ca="1">CONCATENATE(WORLDCUP!AA113,"-",WORLDCUP!AF113,"·",IF(WORLDCUP!AC113&gt;WORLDCUP!AD113,1,IF(WORLDCUP!AC113&lt;WORLDCUP!AD113,2,IF(AND(WORLDCUP!AC113=WORLDCUP!AD113,WORLDCUP!AC113&lt;&gt;"",WORLDCUP!AD113&lt;&gt;""),"X",0))),"|",WORLDCUP!AC113,"-",WORLDCUP!AD113)</f>
        <v>Suiza-Senegal·1|1-0</v>
      </c>
      <c r="D176" s="706"/>
      <c r="E176" s="370"/>
      <c r="F176" s="370"/>
      <c r="G176" s="370"/>
      <c r="H176" s="370"/>
      <c r="I176" s="352"/>
      <c r="J176" s="370"/>
      <c r="K176" s="370"/>
      <c r="L176" s="370"/>
      <c r="M176" s="386"/>
      <c r="N176" s="377"/>
    </row>
    <row r="177" spans="1:14" ht="15" customHeight="1">
      <c r="A177" s="703"/>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Turquía-Egipto·1|1-0</v>
      </c>
      <c r="D177" s="706"/>
      <c r="E177" s="370"/>
      <c r="F177" s="370"/>
      <c r="G177" s="370"/>
      <c r="H177" s="370"/>
      <c r="I177" s="352"/>
      <c r="J177" s="370"/>
      <c r="K177" s="370"/>
      <c r="L177" s="370"/>
      <c r="M177" s="386"/>
      <c r="N177" s="377"/>
    </row>
    <row r="178" spans="1:14" ht="15" customHeight="1">
      <c r="A178" s="703"/>
      <c r="B178" s="360" t="str">
        <f ca="1">CONCATENATE(WORLDCUP!AA115,"-",WORLDCUP!AF115)</f>
        <v>Austria-Uruguay</v>
      </c>
      <c r="C178" s="349" t="str">
        <f ca="1">CONCATENATE(WORLDCUP!AA115,"-",WORLDCUP!AF115,"·",IF(WORLDCUP!AC115&gt;WORLDCUP!AD115,1,IF(WORLDCUP!AC115&lt;WORLDCUP!AD115,2,IF(AND(WORLDCUP!AC115=WORLDCUP!AD115,WORLDCUP!AC115&lt;&gt;"",WORLDCUP!AD115&lt;&gt;""),"X",0))),"|",WORLDCUP!AC115,"-",WORLDCUP!AD115)</f>
        <v>Austria-Uruguay·1|1-0</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Portugal-Ghana·1|1-0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8.9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República Checa</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Marruecos</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México</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Austria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Ecuador</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Croacia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Turquía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República Checa-Países Bajos</v>
      </c>
      <c r="C200" s="351" t="str">
        <f ca="1">CONCATENATE(WORLDCUP!AA120,"-",WORLDCUP!AF120,"·",IF(WORLDCUP!AC120&gt;WORLDCUP!AD120,1,IF(WORLDCUP!AC120&lt;WORLDCUP!AD120,2,IF(AND(WORLDCUP!AC120=WORLDCUP!AD120,WORLDCUP!AC120&lt;&gt;"",WORLDCUP!AD120&lt;&gt;""),"X",0))),"|",WORLDCUP!AC120,"-",WORLDCUP!AD120)</f>
        <v>República Checa-Países Bajos·1|1-0</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Alemania-Francia·1|1-0</v>
      </c>
      <c r="D201" s="686"/>
      <c r="E201" s="685"/>
      <c r="F201" s="685"/>
      <c r="G201" s="685"/>
      <c r="H201" s="685"/>
      <c r="I201" s="352"/>
      <c r="J201" s="370"/>
      <c r="K201" s="370"/>
      <c r="L201" s="370"/>
      <c r="M201" s="386"/>
      <c r="N201" s="377"/>
    </row>
    <row r="202" spans="1:14" ht="15" customHeight="1">
      <c r="A202" s="703"/>
      <c r="B202" s="361" t="str">
        <f ca="1">CONCATENATE(WORLDCUP!AA122,"-",WORLDCUP!AF122)</f>
        <v>Marruecos-Ecuador</v>
      </c>
      <c r="C202" s="351" t="str">
        <f ca="1">CONCATENATE(WORLDCUP!AA122,"-",WORLDCUP!AF122,"·",IF(WORLDCUP!AC122&gt;WORLDCUP!AD122,1,IF(WORLDCUP!AC122&lt;WORLDCUP!AD122,2,IF(AND(WORLDCUP!AC122=WORLDCUP!AD122,WORLDCUP!AC122&lt;&gt;"",WORLDCUP!AD122&lt;&gt;""),"X",0))),"|",WORLDCUP!AC122,"-",WORLDCUP!AD122)</f>
        <v>Marruecos-Ecuador·1|1-0</v>
      </c>
      <c r="D202" s="686"/>
      <c r="E202" s="685"/>
      <c r="F202" s="685"/>
      <c r="G202" s="685"/>
      <c r="H202" s="685"/>
      <c r="I202" s="352"/>
      <c r="J202" s="370"/>
      <c r="K202" s="370"/>
      <c r="L202" s="370"/>
      <c r="M202" s="386"/>
      <c r="N202" s="377"/>
    </row>
    <row r="203" spans="1:14" ht="15" customHeight="1">
      <c r="A203" s="703"/>
      <c r="B203" s="361" t="str">
        <f ca="1">CONCATENATE(WORLDCUP!AA123,"-",WORLDCUP!AF123)</f>
        <v>México-Croacia</v>
      </c>
      <c r="C203" s="351" t="str">
        <f ca="1">CONCATENATE(WORLDCUP!AA123,"-",WORLDCUP!AF123,"·",IF(WORLDCUP!AC123&gt;WORLDCUP!AD123,1,IF(WORLDCUP!AC123&lt;WORLDCUP!AD123,2,IF(AND(WORLDCUP!AC123=WORLDCUP!AD123,WORLDCUP!AC123&lt;&gt;"",WORLDCUP!AD123&lt;&gt;""),"X",0))),"|",WORLDCUP!AC123,"-",WORLDCUP!AD123)</f>
        <v>México-Croacia·1|1-0</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Colombia-España·2|0-1</v>
      </c>
      <c r="D204" s="686"/>
      <c r="E204" s="352"/>
      <c r="F204" s="352"/>
      <c r="G204" s="352"/>
      <c r="H204" s="352"/>
      <c r="I204" s="352"/>
      <c r="J204" s="370"/>
      <c r="K204" s="370"/>
      <c r="L204" s="370"/>
      <c r="M204" s="386"/>
      <c r="N204" s="377"/>
    </row>
    <row r="205" spans="1:14" ht="15" customHeight="1">
      <c r="A205" s="703"/>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Unidos-Bélgica·1|1-0</v>
      </c>
      <c r="D205" s="686"/>
      <c r="E205" s="352"/>
      <c r="F205" s="352"/>
      <c r="G205" s="352"/>
      <c r="H205" s="352"/>
      <c r="I205" s="352"/>
      <c r="J205" s="370"/>
      <c r="K205" s="370"/>
      <c r="L205" s="370"/>
      <c r="M205" s="386"/>
      <c r="N205" s="377"/>
    </row>
    <row r="206" spans="1:14" ht="15" customHeight="1">
      <c r="A206" s="703"/>
      <c r="B206" s="361" t="str">
        <f ca="1">CONCATENATE(WORLDCUP!AA126,"-",WORLDCUP!AF126)</f>
        <v>Austria-Turquía</v>
      </c>
      <c r="C206" s="351" t="str">
        <f ca="1">CONCATENATE(WORLDCUP!AA126,"-",WORLDCUP!AF126,"·",IF(WORLDCUP!AC126&gt;WORLDCUP!AD126,1,IF(WORLDCUP!AC126&lt;WORLDCUP!AD126,2,IF(AND(WORLDCUP!AC126=WORLDCUP!AD126,WORLDCUP!AC126&lt;&gt;"",WORLDCUP!AD126&lt;&gt;""),"X",0))),"|",WORLDCUP!AC126,"-",WORLDCUP!AD126)</f>
        <v>Austria-Turquía·1|1-0</v>
      </c>
      <c r="D206" s="686"/>
      <c r="E206" s="352"/>
      <c r="F206" s="352"/>
      <c r="G206" s="352"/>
      <c r="H206" s="352"/>
      <c r="I206" s="352"/>
      <c r="J206" s="370"/>
      <c r="K206" s="370"/>
      <c r="L206" s="370"/>
      <c r="M206" s="386"/>
      <c r="N206" s="377"/>
    </row>
    <row r="207" spans="1:14" ht="15" customHeight="1">
      <c r="A207" s="703"/>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Suiza-Portugal·1|1-0</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8.9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Alemania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Marruecos</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Austria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República Checa</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Estados Unidos</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México</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Suiza</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Alemania-República Checa</v>
      </c>
      <c r="C220" s="349" t="str">
        <f ca="1">CONCATENATE(WORLDCUP!AA131,"-",WORLDCUP!AF131,"·",IF(WORLDCUP!AC131&gt;WORLDCUP!AD131,1,IF(WORLDCUP!AC131&lt;WORLDCUP!AD131,2,IF(AND(WORLDCUP!AC131=WORLDCUP!AD131,WORLDCUP!AC131&lt;&gt;"",WORLDCUP!AD131&lt;&gt;""),"X",0))),"|",WORLDCUP!AC131,"-",WORLDCUP!AD131)</f>
        <v>Alemania-República Checa·1|1-0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Unidos·1|1-0</v>
      </c>
      <c r="D221" s="706"/>
      <c r="E221" s="685"/>
      <c r="F221" s="685"/>
      <c r="G221" s="685"/>
      <c r="H221" s="685"/>
      <c r="I221" s="352"/>
      <c r="J221" s="370"/>
      <c r="K221" s="370"/>
      <c r="L221" s="370"/>
      <c r="M221" s="386"/>
      <c r="N221" s="377"/>
    </row>
    <row r="222" spans="1:14" ht="15" customHeight="1">
      <c r="A222" s="703"/>
      <c r="B222" s="360" t="str">
        <f ca="1">CONCATENATE(WORLDCUP!AA133,"-",WORLDCUP!AF133)</f>
        <v>Marruecos-México</v>
      </c>
      <c r="C222" s="349" t="str">
        <f ca="1">CONCATENATE(WORLDCUP!AA133,"-",WORLDCUP!AF133,"·",IF(WORLDCUP!AC133&gt;WORLDCUP!AD133,1,IF(WORLDCUP!AC133&lt;WORLDCUP!AD133,2,IF(AND(WORLDCUP!AC133=WORLDCUP!AD133,WORLDCUP!AC133&lt;&gt;"",WORLDCUP!AD133&lt;&gt;""),"X",0))),"|",WORLDCUP!AC133,"-",WORLDCUP!AD133)</f>
        <v>Marruecos-México·1|1-0</v>
      </c>
      <c r="D222" s="706"/>
      <c r="E222" s="685"/>
      <c r="F222" s="685"/>
      <c r="G222" s="685"/>
      <c r="H222" s="685"/>
      <c r="I222" s="352"/>
      <c r="J222" s="370"/>
      <c r="K222" s="370"/>
      <c r="L222" s="370"/>
      <c r="M222" s="386"/>
      <c r="N222" s="377"/>
    </row>
    <row r="223" spans="1:14" ht="15" customHeight="1">
      <c r="A223" s="703"/>
      <c r="B223" s="360" t="str">
        <f ca="1">CONCATENATE(WORLDCUP!AA134,"-",WORLDCUP!AF134)</f>
        <v>Austria-Suiza</v>
      </c>
      <c r="C223" s="349" t="str">
        <f ca="1">CONCATENATE(WORLDCUP!AA134,"-",WORLDCUP!AF134,"·",IF(WORLDCUP!AC134&gt;WORLDCUP!AD134,1,IF(WORLDCUP!AC134&lt;WORLDCUP!AD134,2,IF(AND(WORLDCUP!AC134=WORLDCUP!AD134,WORLDCUP!AC134&lt;&gt;"",WORLDCUP!AD134&lt;&gt;""),"X",0))),"|",WORLDCUP!AC134,"-",WORLDCUP!AD134)</f>
        <v>Austria-Suiza·1|1-0</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7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Alemania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Marruecos</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Austria</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Alemania-España</v>
      </c>
      <c r="C232" s="351" t="str">
        <f ca="1">CONCATENATE(WORLDCUP!AA138,"-",WORLDCUP!AF138,"·",IF(WORLDCUP!AC138&gt;WORLDCUP!AD138,1,IF(WORLDCUP!AC138&lt;WORLDCUP!AD138,2,IF(AND(WORLDCUP!AC138=WORLDCUP!AD138,WORLDCUP!AC138&lt;&gt;"",WORLDCUP!AD138&lt;&gt;""),"X",0))),"|",WORLDCUP!AC138,"-",WORLDCUP!AD138)</f>
        <v>Alemania-España·2|0-1</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Marruecos-Austria</v>
      </c>
      <c r="C233" s="351" t="str">
        <f ca="1">CONCATENATE(WORLDCUP!AA139,"-",WORLDCUP!AF139,"·",IF(WORLDCUP!AC139&gt;WORLDCUP!AD139,1,IF(WORLDCUP!AC139&lt;WORLDCUP!AD139,2,IF(AND(WORLDCUP!AC139=WORLDCUP!AD139,WORLDCUP!AC139&lt;&gt;"",WORLDCUP!AD139&lt;&gt;""),"X",0))),"|",WORLDCUP!AC139,"-",WORLDCUP!AD139)</f>
        <v>Marruecos-Austria·2|0-1</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7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Alemania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Marruecos</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8.9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Austria</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Alemania-Marruecos</v>
      </c>
      <c r="C244" s="349" t="str">
        <f ca="1">CONCATENATE(WORLDCUP!AA143,"-",WORLDCUP!AF143,"·",IF(WORLDCUP!AC143&gt;WORLDCUP!AD143,1,IF(WORLDCUP!AC143&lt;WORLDCUP!AD143,2,IF(AND(WORLDCUP!AC143=WORLDCUP!AD143,WORLDCUP!AC143&lt;&gt;"",WORLDCUP!AD143&lt;&gt;""),"X",0))),"|",WORLDCUP!AC143,"-",WORLDCUP!AD143)</f>
        <v>Alemania-Marruecos·1|1-0</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España-Austria</v>
      </c>
      <c r="C247" s="351" t="str">
        <f ca="1">CONCATENATE(WORLDCUP!AA147,"-",WORLDCUP!AF147,"·",IF(WORLDCUP!AC147&gt;WORLDCUP!AD147,1,IF(WORLDCUP!AC147&lt;WORLDCUP!AD147,2,IF(AND(WORLDCUP!AC147=WORLDCUP!AD147,WORLDCUP!AC147&lt;&gt;"",WORLDCUP!AD147&lt;&gt;""),"X",0))),"|",WORLDCUP!AC147,"-",WORLDCUP!AD147)</f>
        <v>España-Austria·1|1-0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8.9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Austria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Alemania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Julián Álvarez</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nadie</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nadie</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Pedri</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nadie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nadie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4-1</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4</v>
      </c>
      <c r="W4" s="451" t="str">
        <f ca="1">+INDEX(WORLDCUP!$AR$6:$AR$97,MATCH(X4,WORLDCUP!$AI$6:$AI$97,0))&amp;"-"&amp;INDEX(WORLDCUP!$AS$6:$AS$97,MATCH(X4,WORLDCUP!$AI$6:$AI$97,0))</f>
        <v>5-1</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1</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2-1</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7</v>
      </c>
      <c r="V5" s="39">
        <f ca="1">+INDEX(WORLDCUP!$AT$6:$AT$97,MATCH(X5,WORLDCUP!$AI$6:$AI$97,0))</f>
        <v>2</v>
      </c>
      <c r="W5" s="43" t="str">
        <f ca="1">+INDEX(WORLDCUP!$AR$6:$AR$97,MATCH(X5,WORLDCUP!$AI$6:$AI$97,0))&amp;"-"&amp;INDEX(WORLDCUP!$AS$6:$AS$97,MATCH(X5,WORLDCUP!$AI$6:$AI$97,0))</f>
        <v>3-1</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0</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4</v>
      </c>
      <c r="J6" s="39">
        <f ca="1">+INDEX(WORLDCUP!$AT$6:$AT$97,MATCH(L6,WORLDCUP!$AI$6:$AI$97,0))</f>
        <v>2</v>
      </c>
      <c r="K6" s="43" t="str">
        <f ca="1">+INDEX(WORLDCUP!$AR$6:$AR$97,MATCH(L6,WORLDCUP!$AI$6:$AI$97,0))&amp;"-"&amp;INDEX(WORLDCUP!$AS$6:$AS$97,MATCH(L6,WORLDCUP!$AI$6:$AI$97,0))</f>
        <v>3-1</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Nue</v>
      </c>
      <c r="U6" s="38">
        <f ca="1">+INDEX(WORLDCUP!$AM$6:$AM$97,MATCH(X6,WORLDCUP!$AI$6:$AI$97,0))</f>
        <v>1</v>
      </c>
      <c r="V6" s="39">
        <f ca="1">+INDEX(WORLDCUP!$AT$6:$AT$97,MATCH(X6,WORLDCUP!$AI$6:$AI$97,0))</f>
        <v>-3</v>
      </c>
      <c r="W6" s="43" t="str">
        <f ca="1">+INDEX(WORLDCUP!$AR$6:$AR$97,MATCH(X6,WORLDCUP!$AI$6:$AI$97,0))&amp;"-"&amp;INDEX(WORLDCUP!$AS$6:$AS$97,MATCH(X6,WORLDCUP!$AI$6:$AI$97,0))</f>
        <v>0-3</v>
      </c>
      <c r="X6" s="181" t="s">
        <v>445</v>
      </c>
      <c r="Y6" s="181">
        <v>77</v>
      </c>
      <c r="Z6" s="425" t="s">
        <v>684</v>
      </c>
      <c r="AA6" s="426" t="str">
        <f ca="1">+MID(INDEX(WORLDCUP!$AA$101:$AA$147,MATCH(Y6,WORLDCUP!$Z$101:$Z$147,0)),1,3)</f>
        <v>Fra</v>
      </c>
      <c r="AB6" s="472">
        <f>+IF(ISBLANK(INDEX(WORLDCUP!$AC$101:$AC$147,MATCH(Y6,WORLDCUP!$Z$101:$Z$147,0))),"",INDEX(WORLDCUP!$AC$101:$AC$147,MATCH(Y6,WORLDCUP!$Z$101:$Z$147,0)))</f>
        <v>1</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-6</v>
      </c>
      <c r="K7" s="479" t="str">
        <f ca="1">+INDEX(WORLDCUP!$AR$6:$AR$97,MATCH(L7,WORLDCUP!$AI$6:$AI$97,0))&amp;"-"&amp;INDEX(WORLDCUP!$AS$6:$AS$97,MATCH(L7,WORLDCUP!$AI$6:$AI$97,0))</f>
        <v>0-6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-3</v>
      </c>
      <c r="W7" s="479" t="str">
        <f ca="1">+INDEX(WORLDCUP!$AR$6:$AR$97,MATCH(X7,WORLDCUP!$AI$6:$AI$97,0))&amp;"-"&amp;INDEX(WORLDCUP!$AS$6:$AS$97,MATCH(X7,WORLDCUP!$AI$6:$AI$97,0))</f>
        <v>0-3</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1</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Rep</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0</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1</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Rep</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1</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0</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7</v>
      </c>
      <c r="K12" s="451" t="str">
        <f ca="1">+INDEX(WORLDCUP!$AR$6:$AR$97,MATCH(L12,WORLDCUP!$AI$6:$AI$97,0))&amp;"-"&amp;INDEX(WORLDCUP!$AS$6:$AS$97,MATCH(L12,WORLDCUP!$AI$6:$AI$97,0))</f>
        <v>7-0</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8-2</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1</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0</v>
      </c>
      <c r="K13" s="43" t="str">
        <f ca="1">+INDEX(WORLDCUP!$AR$6:$AR$97,MATCH(L13,WORLDCUP!$AI$6:$AI$97,0))&amp;"-"&amp;INDEX(WORLDCUP!$AS$6:$AS$97,MATCH(L13,WORLDCUP!$AI$6:$AI$97,0))</f>
        <v>3-3</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6-3</v>
      </c>
      <c r="X13" s="181" t="s">
        <v>682</v>
      </c>
      <c r="Y13" s="181">
        <v>75</v>
      </c>
      <c r="Z13" s="425" t="s">
        <v>667</v>
      </c>
      <c r="AA13" s="480" t="str">
        <f ca="1">+MID(INDEX(WORLDCUP!$AF$101:$AF$147,MATCH(Y13,WORLDCUP!$Z$101:$Z$147,0)),1,3)</f>
        <v>Bra</v>
      </c>
      <c r="AB13" s="481">
        <f>+IF(ISBLANK(INDEX(WORLDCUP!$AD$101:$AD$147,MATCH(Y13,WORLDCUP!$Z$101:$Z$147,0))),"",INDEX(WORLDCUP!$AD$101:$AD$147,MATCH(Y13,WORLDCUP!$Z$101:$Z$147,0)))</f>
        <v>0</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2-4</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-4</v>
      </c>
      <c r="W14" s="43" t="str">
        <f ca="1">+INDEX(WORLDCUP!$AR$6:$AR$97,MATCH(X14,WORLDCUP!$AI$6:$AI$97,0))&amp;"-"&amp;INDEX(WORLDCUP!$AS$6:$AS$97,MATCH(X14,WORLDCUP!$AI$6:$AI$97,0))</f>
        <v>1-5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0-5</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-5</v>
      </c>
      <c r="W15" s="479" t="str">
        <f ca="1">+INDEX(WORLDCUP!$AR$6:$AR$97,MATCH(X15,WORLDCUP!$AI$6:$AI$97,0))&amp;"-"&amp;INDEX(WORLDCUP!$AS$6:$AS$97,MATCH(X15,WORLDCUP!$AI$6:$AI$97,0))</f>
        <v>2-7</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Ing</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0</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Arg</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Mar</v>
      </c>
      <c r="I20" s="449">
        <f ca="1">+INDEX(WORLDCUP!$AM$6:$AM$97,MATCH(L20,WORLDCUP!$AI$6:$AI$97,0))</f>
        <v>9</v>
      </c>
      <c r="J20" s="450">
        <f ca="1">+INDEX(WORLDCUP!$AT$6:$AT$97,MATCH(L20,WORLDCUP!$AI$6:$AI$97,0))</f>
        <v>3</v>
      </c>
      <c r="K20" s="451" t="str">
        <f ca="1">+INDEX(WORLDCUP!$AR$6:$AR$97,MATCH(L20,WORLDCUP!$AI$6:$AI$97,0))&amp;"-"&amp;INDEX(WORLDCUP!$AS$6:$AS$97,MATCH(L20,WORLDCUP!$AI$6:$AI$97,0))</f>
        <v>4-1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5</v>
      </c>
      <c r="W20" s="451" t="str">
        <f ca="1">+INDEX(WORLDCUP!$AR$6:$AR$97,MATCH(X20,WORLDCUP!$AI$6:$AI$97,0))&amp;"-"&amp;INDEX(WORLDCUP!$AS$6:$AS$97,MATCH(X20,WORLDCUP!$AI$6:$AI$97,0))</f>
        <v>8-3</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Bra</v>
      </c>
      <c r="I21" s="38">
        <f ca="1">+INDEX(WORLDCUP!$AM$6:$AM$97,MATCH(L21,WORLDCUP!$AI$6:$AI$97,0))</f>
        <v>6</v>
      </c>
      <c r="J21" s="39">
        <f ca="1">+INDEX(WORLDCUP!$AT$6:$AT$97,MATCH(L21,WORLDCUP!$AI$6:$AI$97,0))</f>
        <v>4</v>
      </c>
      <c r="K21" s="43" t="str">
        <f ca="1">+INDEX(WORLDCUP!$AR$6:$AR$97,MATCH(L21,WORLDCUP!$AI$6:$AI$97,0))&amp;"-"&amp;INDEX(WORLDCUP!$AS$6:$AS$97,MATCH(L21,WORLDCUP!$AI$6:$AI$97,0))</f>
        <v>5-1</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2</v>
      </c>
      <c r="W21" s="43" t="str">
        <f ca="1">+INDEX(WORLDCUP!$AR$6:$AR$97,MATCH(X21,WORLDCUP!$AI$6:$AI$97,0))&amp;"-"&amp;INDEX(WORLDCUP!$AS$6:$AS$97,MATCH(X21,WORLDCUP!$AI$6:$AI$97,0))</f>
        <v>7-5</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2</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4-5</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-5</v>
      </c>
      <c r="K23" s="479" t="str">
        <f ca="1">+INDEX(WORLDCUP!$AR$6:$AR$97,MATCH(L23,WORLDCUP!$AI$6:$AI$97,0))&amp;"-"&amp;INDEX(WORLDCUP!$AS$6:$AS$97,MATCH(L23,WORLDCUP!$AI$6:$AI$97,0))</f>
        <v>0-5</v>
      </c>
      <c r="L23" s="181" t="s">
        <v>668</v>
      </c>
      <c r="M23" s="181">
        <v>61</v>
      </c>
      <c r="N23" s="522"/>
      <c r="O23" s="444" t="str">
        <f ca="1">+MID(INDEX(WORLDCUP!$AA$4:$AA$147,MATCH(M23,WORLDCUP!$AH$4:$AH$147,0)),1,3)</f>
        <v>Nor</v>
      </c>
      <c r="P23" s="445">
        <f>IF(ISBLANK(INDEX(WORLDCUP!$AC$4:$AC$147,MATCH(M23,WORLDCUP!$AH$4:$AH$147,0))),"",INDEX(WORLDCUP!$AC$4:$AC$147,MATCH(M23,WORLDCUP!$AH$4:$AH$147,0)))</f>
        <v>2</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-6</v>
      </c>
      <c r="W23" s="479" t="str">
        <f ca="1">+INDEX(WORLDCUP!$AR$6:$AR$97,MATCH(X23,WORLDCUP!$AI$6:$AI$97,0))&amp;"-"&amp;INDEX(WORLDCUP!$AS$6:$AS$97,MATCH(X23,WORLDCUP!$AI$6:$AI$97,0))</f>
        <v>0-6</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Austria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1</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Cor</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Alemania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Aust</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1</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Mar</v>
      </c>
      <c r="AB27" s="427">
        <f>+IF(ISBLANK(INDEX(WORLDCUP!$AC$101:$AC$147,MATCH(Y27,WORLDCUP!$Z$101:$Z$147,0))),"",INDEX(WORLDCUP!$AC$101:$AC$147,MATCH(Y27,WORLDCUP!$Z$101:$Z$147,0)))</f>
        <v>1</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1</v>
      </c>
      <c r="K28" s="451" t="str">
        <f ca="1">+INDEX(WORLDCUP!$AR$6:$AR$97,MATCH(L28,WORLDCUP!$AI$6:$AI$97,0))&amp;"-"&amp;INDEX(WORLDCUP!$AS$6:$AS$97,MATCH(L28,WORLDCUP!$AI$6:$AI$97,0))</f>
        <v>3-2</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Aus</v>
      </c>
      <c r="U28" s="449">
        <f ca="1">+INDEX(WORLDCUP!$AM$6:$AM$97,MATCH(X28,WORLDCUP!$AI$6:$AI$97,0))</f>
        <v>9</v>
      </c>
      <c r="V28" s="450">
        <f ca="1">+INDEX(WORLDCUP!$AT$6:$AT$97,MATCH(X28,WORLDCUP!$AI$6:$AI$97,0))</f>
        <v>5</v>
      </c>
      <c r="W28" s="451" t="str">
        <f ca="1">+INDEX(WORLDCUP!$AR$6:$AR$97,MATCH(X28,WORLDCUP!$AI$6:$AI$97,0))&amp;"-"&amp;INDEX(WORLDCUP!$AS$6:$AS$97,MATCH(X28,WORLDCUP!$AI$6:$AI$97,0))</f>
        <v>6-1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2-1</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2</v>
      </c>
      <c r="R29" s="446" t="str">
        <f ca="1">+MID(INDEX(WORLDCUP!$AF$4:$AF$147,MATCH(M29,WORLDCUP!$AH$4:$AH$147,0)),1,3)</f>
        <v>Aus</v>
      </c>
      <c r="S29" s="467">
        <v>2</v>
      </c>
      <c r="T29" s="468" t="str">
        <f ca="1">+MID(INDEX(WORLDCUP!$AL$6:$AL$97,MATCH(X29,WORLDCUP!$AI$6:$AI$97,0)),1,3)</f>
        <v>Arg</v>
      </c>
      <c r="U29" s="38">
        <f ca="1">+INDEX(WORLDCUP!$AM$6:$AM$97,MATCH(X29,WORLDCUP!$AI$6:$AI$97,0))</f>
        <v>6</v>
      </c>
      <c r="V29" s="39">
        <f ca="1">+INDEX(WORLDCUP!$AT$6:$AT$97,MATCH(X29,WORLDCUP!$AI$6:$AI$97,0))</f>
        <v>4</v>
      </c>
      <c r="W29" s="43" t="str">
        <f ca="1">+INDEX(WORLDCUP!$AR$6:$AR$97,MATCH(X29,WORLDCUP!$AI$6:$AI$97,0))&amp;"-"&amp;INDEX(WORLDCUP!$AS$6:$AS$97,MATCH(X29,WORLDCUP!$AI$6:$AI$97,0))</f>
        <v>6-2</v>
      </c>
      <c r="X29" s="181" t="s">
        <v>688</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1</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Par</v>
      </c>
      <c r="I30" s="38">
        <f ca="1">+INDEX(WORLDCUP!$AM$6:$AM$97,MATCH(L30,WORLDCUP!$AI$6:$AI$97,0))</f>
        <v>2</v>
      </c>
      <c r="J30" s="39">
        <f ca="1">+INDEX(WORLDCUP!$AT$6:$AT$97,MATCH(L30,WORLDCUP!$AI$6:$AI$97,0))</f>
        <v>-1</v>
      </c>
      <c r="K30" s="43" t="str">
        <f ca="1">+INDEX(WORLDCUP!$AR$6:$AR$97,MATCH(L30,WORLDCUP!$AI$6:$AI$97,0))&amp;"-"&amp;INDEX(WORLDCUP!$AS$6:$AS$97,MATCH(L30,WORLDCUP!$AI$6:$AI$97,0))</f>
        <v>1-2</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Arg</v>
      </c>
      <c r="U30" s="38">
        <f ca="1">+INDEX(WORLDCUP!$AM$6:$AM$97,MATCH(X30,WORLDCUP!$AI$6:$AI$97,0))</f>
        <v>1</v>
      </c>
      <c r="V30" s="39">
        <f ca="1">+INDEX(WORLDCUP!$AT$6:$AT$97,MATCH(X30,WORLDCUP!$AI$6:$AI$97,0))</f>
        <v>-3</v>
      </c>
      <c r="W30" s="43" t="str">
        <f ca="1">+INDEX(WORLDCUP!$AR$6:$AR$97,MATCH(X30,WORLDCUP!$AI$6:$AI$97,0))&amp;"-"&amp;INDEX(WORLDCUP!$AS$6:$AS$97,MATCH(X30,WORLDCUP!$AI$6:$AI$97,0))</f>
        <v>0-3</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2</v>
      </c>
      <c r="J31" s="478">
        <f ca="1">+INDEX(WORLDCUP!$AT$6:$AT$97,MATCH(L31,WORLDCUP!$AI$6:$AI$97,0))</f>
        <v>-1</v>
      </c>
      <c r="K31" s="479" t="str">
        <f ca="1">+INDEX(WORLDCUP!$AR$6:$AR$97,MATCH(L31,WORLDCUP!$AI$6:$AI$97,0))&amp;"-"&amp;INDEX(WORLDCUP!$AS$6:$AS$97,MATCH(L31,WORLDCUP!$AI$6:$AI$97,0))</f>
        <v>1-2</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-6</v>
      </c>
      <c r="W31" s="479" t="str">
        <f ca="1">+INDEX(WORLDCUP!$AR$6:$AR$97,MATCH(X31,WORLDCUP!$AI$6:$AI$97,0))&amp;"-"&amp;INDEX(WORLDCUP!$AS$6:$AS$97,MATCH(X31,WORLDCUP!$AI$6:$AI$97,0))</f>
        <v>0-6</v>
      </c>
      <c r="X31" s="181" t="s">
        <v>689</v>
      </c>
      <c r="Y31" s="181">
        <v>78</v>
      </c>
      <c r="Z31" s="425" t="s">
        <v>685</v>
      </c>
      <c r="AA31" s="480" t="str">
        <f ca="1">+MID(INDEX(WORLDCUP!$AF$101:$AF$147,MATCH(Y31,WORLDCUP!$Z$101:$Z$147,0)),1,3)</f>
        <v>Nor</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Mar</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Alem</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Marr</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0</v>
      </c>
      <c r="BL34" s="465">
        <f ca="1">COUNTIF(Pool!$C$226:$C$229,Fixture!BG34)-BM34-BN34-BO34</f>
        <v>1</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Cro</v>
      </c>
      <c r="AF35" s="457">
        <f>+IF(ISBLANK(INDEX(WORLDCUP!$AD$101:$AD$147,MATCH(AD35,WORLDCUP!$Z$101:$Z$147,0))),"",INDEX(WORLDCUP!$AD$101:$AD$147,MATCH(AD35,WORLDCUP!$Z$101:$Z$147,0)))</f>
        <v>0</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5</v>
      </c>
      <c r="K36" s="451" t="str">
        <f ca="1">+INDEX(WORLDCUP!$AR$6:$AR$97,MATCH(L36,WORLDCUP!$AI$6:$AI$97,0))&amp;"-"&amp;INDEX(WORLDCUP!$AS$6:$AS$97,MATCH(L36,WORLDCUP!$AI$6:$AI$97,0))</f>
        <v>8-3</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1</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5</v>
      </c>
      <c r="W36" s="451" t="str">
        <f ca="1">+INDEX(WORLDCUP!$AR$6:$AR$97,MATCH(X36,WORLDCUP!$AI$6:$AI$97,0))&amp;"-"&amp;INDEX(WORLDCUP!$AS$6:$AS$97,MATCH(X36,WORLDCUP!$AI$6:$AI$97,0))</f>
        <v>6-1</v>
      </c>
      <c r="X36" s="181" t="s">
        <v>690</v>
      </c>
      <c r="Y36" s="181">
        <v>80</v>
      </c>
      <c r="Z36" s="425" t="s">
        <v>693</v>
      </c>
      <c r="AA36" s="426" t="str">
        <f ca="1">+MID(INDEX(WORLDCUP!$AA$101:$AA$147,MATCH(Y36,WORLDCUP!$Z$101:$Z$147,0)),1,3)</f>
        <v>Cro</v>
      </c>
      <c r="AB36" s="472">
        <f>+IF(ISBLANK(INDEX(WORLDCUP!$AC$101:$AC$147,MATCH(Y36,WORLDCUP!$Z$101:$Z$147,0))),"",INDEX(WORLDCUP!$AC$101:$AC$147,MATCH(Y36,WORLDCUP!$Z$101:$Z$147,0)))</f>
        <v>1</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7</v>
      </c>
      <c r="J37" s="39">
        <f ca="1">+INDEX(WORLDCUP!$AT$6:$AT$97,MATCH(L37,WORLDCUP!$AI$6:$AI$97,0))</f>
        <v>4</v>
      </c>
      <c r="K37" s="43" t="str">
        <f ca="1">+INDEX(WORLDCUP!$AR$6:$AR$97,MATCH(L37,WORLDCUP!$AI$6:$AI$97,0))&amp;"-"&amp;INDEX(WORLDCUP!$AS$6:$AS$97,MATCH(L37,WORLDCUP!$AI$6:$AI$97,0))</f>
        <v>6-2</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4-1</v>
      </c>
      <c r="X37" s="181" t="s">
        <v>691</v>
      </c>
      <c r="Y37" s="181">
        <v>80</v>
      </c>
      <c r="Z37" s="425" t="s">
        <v>736</v>
      </c>
      <c r="AA37" s="480" t="str">
        <f ca="1">+MID(INDEX(WORLDCUP!$AF$101:$AF$147,MATCH(Y37,WORLDCUP!$Z$101:$Z$147,0)),1,IF(WORLDCUP!$H$113&lt;144,6,3))</f>
        <v>Uzb</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Mar</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-3</v>
      </c>
      <c r="W38" s="43" t="str">
        <f ca="1">+INDEX(WORLDCUP!$AR$6:$AR$97,MATCH(X38,WORLDCUP!$AI$6:$AI$97,0))&amp;"-"&amp;INDEX(WORLDCUP!$AS$6:$AS$97,MATCH(X38,WORLDCUP!$AI$6:$AI$97,0))</f>
        <v>1-4</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Aust</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1</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-5</v>
      </c>
      <c r="W39" s="479" t="str">
        <f ca="1">+INDEX(WORLDCUP!$AR$6:$AR$97,MATCH(X39,WORLDCUP!$AI$6:$AI$97,0))&amp;"-"&amp;INDEX(WORLDCUP!$AS$6:$AS$97,MATCH(X39,WORLDCUP!$AI$6:$AI$97,0))</f>
        <v>0-5</v>
      </c>
      <c r="X39" s="181" t="s">
        <v>692</v>
      </c>
      <c r="Y39" s="181">
        <v>86</v>
      </c>
      <c r="Z39" s="425" t="s">
        <v>687</v>
      </c>
      <c r="AA39" s="426" t="str">
        <f ca="1">+MID(INDEX(WORLDCUP!$AA$101:$AA$147,MATCH(Y39,WORLDCUP!$Z$101:$Z$147,0)),1,3)</f>
        <v>Aus</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Aus</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Aus</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0</v>
      </c>
      <c r="BK43" s="465">
        <f ca="1">COUNTIF(Pool!$C$210:$C$217,Fixture!BG43)-BL43-BM43-BN43-BO43</f>
        <v>1</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3</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5</v>
      </c>
      <c r="K44" s="451" t="str">
        <f ca="1">+INDEX(WORLDCUP!$AR$6:$AR$97,MATCH(L44,WORLDCUP!$AI$6:$AI$97,0))&amp;"-"&amp;INDEX(WORLDCUP!$AS$6:$AS$97,MATCH(L44,WORLDCUP!$AI$6:$AI$97,0))</f>
        <v>6-1</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Cro</v>
      </c>
      <c r="U44" s="449">
        <f ca="1">+INDEX(WORLDCUP!$AM$6:$AM$97,MATCH(X44,WORLDCUP!$AI$6:$AI$97,0))</f>
        <v>6</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6</v>
      </c>
      <c r="J45" s="39">
        <f ca="1">+INDEX(WORLDCUP!$AT$6:$AT$97,MATCH(L45,WORLDCUP!$AI$6:$AI$97,0))</f>
        <v>2</v>
      </c>
      <c r="K45" s="43" t="str">
        <f ca="1">+INDEX(WORLDCUP!$AR$6:$AR$97,MATCH(L45,WORLDCUP!$AI$6:$AI$97,0))&amp;"-"&amp;INDEX(WORLDCUP!$AS$6:$AS$97,MATCH(L45,WORLDCUP!$AI$6:$AI$97,0))</f>
        <v>4-2</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Ing</v>
      </c>
      <c r="U45" s="38">
        <f ca="1">+INDEX(WORLDCUP!$AM$6:$AM$97,MATCH(X45,WORLDCUP!$AI$6:$AI$97,0))</f>
        <v>6</v>
      </c>
      <c r="V45" s="39">
        <f ca="1">+INDEX(WORLDCUP!$AT$6:$AT$97,MATCH(X45,WORLDCUP!$AI$6:$AI$97,0))</f>
        <v>3</v>
      </c>
      <c r="W45" s="43" t="str">
        <f ca="1">+INDEX(WORLDCUP!$AR$6:$AR$97,MATCH(X45,WORLDCUP!$AI$6:$AI$97,0))&amp;"-"&amp;INDEX(WORLDCUP!$AS$6:$AS$97,MATCH(X45,WORLDCUP!$AI$6:$AI$97,0))</f>
        <v>5-2</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3-2</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3</v>
      </c>
      <c r="R46" s="446" t="str">
        <f ca="1">+MID(INDEX(WORLDCUP!$AF$4:$AF$147,MATCH(M46,WORLDCUP!$AH$4:$AH$147,0)),1,3)</f>
        <v>Cro</v>
      </c>
      <c r="S46" s="467">
        <v>3</v>
      </c>
      <c r="T46" s="468" t="str">
        <f ca="1">+MID(INDEX(WORLDCUP!$AL$6:$AL$97,MATCH(X46,WORLDCUP!$AI$6:$AI$97,0)),1,3)</f>
        <v>Gha</v>
      </c>
      <c r="U46" s="38">
        <f ca="1">+INDEX(WORLDCUP!$AM$6:$AM$97,MATCH(X46,WORLDCUP!$AI$6:$AI$97,0))</f>
        <v>6</v>
      </c>
      <c r="V46" s="39">
        <f ca="1">+INDEX(WORLDCUP!$AT$6:$AT$97,MATCH(X46,WORLDCUP!$AI$6:$AI$97,0))</f>
        <v>1</v>
      </c>
      <c r="W46" s="43" t="str">
        <f ca="1">+INDEX(WORLDCUP!$AR$6:$AR$97,MATCH(X46,WORLDCUP!$AI$6:$AI$97,0))&amp;"-"&amp;INDEX(WORLDCUP!$AS$6:$AS$97,MATCH(X46,WORLDCUP!$AI$6:$AI$97,0))</f>
        <v>3-2</v>
      </c>
      <c r="X46" s="181" t="s">
        <v>453</v>
      </c>
      <c r="Y46" s="181">
        <v>85</v>
      </c>
      <c r="Z46" s="425" t="s">
        <v>739</v>
      </c>
      <c r="AA46" s="426" t="str">
        <f ca="1">+MID(INDEX(WORLDCUP!$AF$101:$AF$147,MATCH(Y46,WORLDCUP!$Z$101:$Z$147,0)),1,IF(WORLDCUP!$H$113&lt;144,6,3))</f>
        <v>Sen</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-8</v>
      </c>
      <c r="K47" s="479" t="str">
        <f ca="1">+INDEX(WORLDCUP!$AR$6:$AR$97,MATCH(L47,WORLDCUP!$AI$6:$AI$97,0))&amp;"-"&amp;INDEX(WORLDCUP!$AS$6:$AS$97,MATCH(L47,WORLDCUP!$AI$6:$AI$97,0))</f>
        <v>0-8</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-8</v>
      </c>
      <c r="W47" s="479" t="str">
        <f ca="1">+INDEX(WORLDCUP!$AR$6:$AR$97,MATCH(X47,WORLDCUP!$AI$6:$AI$97,0))&amp;"-"&amp;INDEX(WORLDCUP!$AS$6:$AS$97,MATCH(X47,WORLDCUP!$AI$6:$AI$97,0))</f>
        <v>0-8</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0</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0</v>
      </c>
      <c r="BI51" s="575">
        <f ca="1">COUNTIF(Pool!$C$130:$C$161,Fixture!BG51)-BJ51-BK51-BL51-BM51-BN51-BO51</f>
        <v>1</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Nueva Zelanda</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Nueva Zelanda</v>
      </c>
      <c r="E3" s="9" t="str">
        <f ca="1">+WORLDCUP!BD66</f>
        <v>Senegal</v>
      </c>
      <c r="F3" s="9" t="str">
        <f ca="1">+WORLDCUP!BD61</f>
        <v>Paraguay</v>
      </c>
      <c r="G3" s="9" t="str">
        <f ca="1">+WORLDCUP!BD67</f>
        <v>Argelia</v>
      </c>
      <c r="H3" s="9" t="str">
        <f ca="1">+WORLDCUP!BD63</f>
        <v>Suecia</v>
      </c>
      <c r="I3" s="9" t="str">
        <f ca="1">+WORLDCUP!BD69</f>
        <v>Ghana</v>
      </c>
      <c r="J3" s="9" t="str">
        <f ca="1">+WORLDCUP!BD68</f>
        <v>Uzbekistán</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Nueva Zelanda</v>
      </c>
      <c r="I4" s="9" t="str">
        <f ca="1">+WORLDCUP!BD69</f>
        <v>Ghana</v>
      </c>
      <c r="J4" s="9" t="str">
        <f ca="1">+WORLDCUP!BD68</f>
        <v>Uzbekistán</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Uzbekistán</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Nueva Zelanda</v>
      </c>
      <c r="E6" s="9" t="str">
        <f ca="1">+WORLDCUP!BD66</f>
        <v>Senegal</v>
      </c>
      <c r="F6" s="9" t="str">
        <f ca="1">+WORLDCUP!BD61</f>
        <v>Paraguay</v>
      </c>
      <c r="G6" s="9" t="str">
        <f ca="1">+WORLDCUP!BD67</f>
        <v>Argelia</v>
      </c>
      <c r="H6" s="9" t="str">
        <f ca="1">+WORLDCUP!BD63</f>
        <v>Suecia</v>
      </c>
      <c r="I6" s="9" t="str">
        <f ca="1">+WORLDCUP!BD69</f>
        <v>Ghana</v>
      </c>
      <c r="J6" s="9" t="str">
        <f ca="1">+WORLDCUP!BD68</f>
        <v>Uzbekistán</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Nueva Zelanda</v>
      </c>
      <c r="E7" s="9" t="str">
        <f ca="1">+WORLDCUP!BD67</f>
        <v>Argelia</v>
      </c>
      <c r="F7" s="9" t="str">
        <f ca="1">+WORLDCUP!BD61</f>
        <v>Paraguay</v>
      </c>
      <c r="G7" s="9" t="str">
        <f ca="1">+WORLDCUP!BD65</f>
        <v>Arabia Saudita</v>
      </c>
      <c r="H7" s="9" t="str">
        <f ca="1">+WORLDCUP!BD63</f>
        <v>Suecia</v>
      </c>
      <c r="I7" s="9" t="str">
        <f ca="1">+WORLDCUP!BD69</f>
        <v>Ghana</v>
      </c>
      <c r="J7" s="9" t="str">
        <f ca="1">+WORLDCUP!BD68</f>
        <v>Uzbekistán</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Senegal</v>
      </c>
      <c r="F8" s="9" t="str">
        <f ca="1">+WORLDCUP!BD61</f>
        <v>Paraguay</v>
      </c>
      <c r="G8" s="9" t="str">
        <f ca="1">+WORLDCUP!BD65</f>
        <v>Arabia Saudita</v>
      </c>
      <c r="H8" s="9" t="str">
        <f ca="1">+WORLDCUP!BD63</f>
        <v>Suecia</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Argelia</v>
      </c>
      <c r="F10" s="9" t="str">
        <f ca="1">+WORLDCUP!BD61</f>
        <v>Paraguay</v>
      </c>
      <c r="G10" s="9" t="str">
        <f ca="1">+WORLDCUP!BD65</f>
        <v>Arabia Saudita</v>
      </c>
      <c r="H10" s="9" t="str">
        <f ca="1">+WORLDCUP!BD63</f>
        <v>Suecia</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Suecia</v>
      </c>
      <c r="I11" s="9" t="str">
        <f ca="1">+WORLDCUP!BD69</f>
        <v>Ghana</v>
      </c>
      <c r="J11" s="9" t="str">
        <f ca="1">+WORLDCUP!BD68</f>
        <v>Uzbekistán</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Uzbekistán</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Argelia</v>
      </c>
      <c r="H14" s="9" t="str">
        <f ca="1">+WORLDCUP!BD63</f>
        <v>Suecia</v>
      </c>
      <c r="I14" s="9" t="str">
        <f ca="1">+WORLDCUP!BD69</f>
        <v>Ghana</v>
      </c>
      <c r="J14" s="9" t="str">
        <f ca="1">+WORLDCUP!BD68</f>
        <v>Uzbekistán</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Ghana</v>
      </c>
      <c r="J15" s="9" t="str">
        <f ca="1">+WORLDCUP!BD68</f>
        <v>Uzbekistán</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Senegal</v>
      </c>
      <c r="J18" s="9" t="str">
        <f ca="1">+WORLDCUP!BD68</f>
        <v>Uzbekistán</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Paraguay</v>
      </c>
      <c r="I19" s="9" t="str">
        <f ca="1">+WORLDCUP!BD69</f>
        <v>Ghana</v>
      </c>
      <c r="J19" s="9" t="str">
        <f ca="1">+WORLDCUP!BD68</f>
        <v>Uzbekistán</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Uzbekistán</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Nueva Zelanda</v>
      </c>
      <c r="E21" s="9" t="str">
        <f ca="1">+WORLDCUP!BD66</f>
        <v>Senegal</v>
      </c>
      <c r="F21" s="9" t="str">
        <f ca="1">+WORLDCUP!BD61</f>
        <v>Paraguay</v>
      </c>
      <c r="G21" s="9" t="str">
        <f ca="1">+WORLDCUP!BD67</f>
        <v>Argelia</v>
      </c>
      <c r="H21" s="9" t="str">
        <f ca="1">+WORLDCUP!BD63</f>
        <v>Suecia</v>
      </c>
      <c r="I21" s="9" t="str">
        <f ca="1">+WORLDCUP!BD69</f>
        <v>Ghana</v>
      </c>
      <c r="J21" s="9" t="str">
        <f ca="1">+WORLDCUP!BD68</f>
        <v>Uzbekistán</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Nueva Zelanda</v>
      </c>
      <c r="E22" s="9" t="str">
        <f ca="1">+WORLDCUP!BD67</f>
        <v>Argelia</v>
      </c>
      <c r="F22" s="9" t="str">
        <f ca="1">+WORLDCUP!BD61</f>
        <v>Paraguay</v>
      </c>
      <c r="G22" s="9" t="str">
        <f ca="1">+WORLDCUP!BD65</f>
        <v>Arabia Saudita</v>
      </c>
      <c r="H22" s="9" t="str">
        <f ca="1">+WORLDCUP!BD63</f>
        <v>Suecia</v>
      </c>
      <c r="I22" s="9" t="str">
        <f ca="1">+WORLDCUP!BD69</f>
        <v>Ghana</v>
      </c>
      <c r="J22" s="9" t="str">
        <f ca="1">+WORLDCUP!BD68</f>
        <v>Uzbekistán</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Suecia</v>
      </c>
      <c r="I23" s="9" t="str">
        <f ca="1">+WORLDCUP!BD69</f>
        <v>Ghana</v>
      </c>
      <c r="J23" s="9" t="str">
        <f ca="1">+WORLDCUP!BD68</f>
        <v>Uzbekistán</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Nueva Zelanda</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Nueva Zelanda</v>
      </c>
      <c r="E25" s="9" t="str">
        <f ca="1">+WORLDCUP!BD67</f>
        <v>Argelia</v>
      </c>
      <c r="F25" s="9" t="str">
        <f ca="1">+WORLDCUP!BD61</f>
        <v>Paraguay</v>
      </c>
      <c r="G25" s="9" t="str">
        <f ca="1">+WORLDCUP!BD65</f>
        <v>Arabia Saudita</v>
      </c>
      <c r="H25" s="9" t="str">
        <f ca="1">+WORLDCUP!BD63</f>
        <v>Suecia</v>
      </c>
      <c r="I25" s="9" t="str">
        <f ca="1">+WORLDCUP!BD66</f>
        <v>Senegal</v>
      </c>
      <c r="J25" s="9" t="str">
        <f ca="1">+WORLDCUP!BD68</f>
        <v>Uzbekistán</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Argelia</v>
      </c>
      <c r="H27" s="9" t="str">
        <f ca="1">+WORLDCUP!BD61</f>
        <v>Paraguay</v>
      </c>
      <c r="I27" s="9" t="str">
        <f ca="1">+WORLDCUP!BD69</f>
        <v>Ghana</v>
      </c>
      <c r="J27" s="9" t="str">
        <f ca="1">+WORLDCUP!BD68</f>
        <v>Uzbekistán</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Paraguay</v>
      </c>
      <c r="I28" s="9" t="str">
        <f ca="1">+WORLDCUP!BD69</f>
        <v>Ghana</v>
      </c>
      <c r="J28" s="9" t="str">
        <f ca="1">+WORLDCUP!BD68</f>
        <v>Uzbekistán</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Paraguay</v>
      </c>
      <c r="I31" s="9" t="str">
        <f ca="1">+WORLDCUP!BD66</f>
        <v>Senegal</v>
      </c>
      <c r="J31" s="9" t="str">
        <f ca="1">+WORLDCUP!BD68</f>
        <v>Uzbekistán</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Uzbekistán</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Uzbekistán</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Uzbekistán</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Uzbekistán</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Argelia</v>
      </c>
      <c r="H37" s="9" t="str">
        <f ca="1">+WORLDCUP!BD63</f>
        <v>Suecia</v>
      </c>
      <c r="I37" s="9" t="str">
        <f ca="1">+WORLDCUP!BD69</f>
        <v>Ghana</v>
      </c>
      <c r="J37" s="9" t="str">
        <f ca="1">+WORLDCUP!BD68</f>
        <v>Uzbekistán</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Senegal</v>
      </c>
      <c r="H38" s="9" t="str">
        <f ca="1">+WORLDCUP!BD63</f>
        <v>Suecia</v>
      </c>
      <c r="I38" s="9" t="str">
        <f ca="1">+WORLDCUP!BD69</f>
        <v>Ghana</v>
      </c>
      <c r="J38" s="9" t="str">
        <f ca="1">+WORLDCUP!BD68</f>
        <v>Uzbekistán</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Argelia</v>
      </c>
      <c r="H40" s="9" t="str">
        <f ca="1">+WORLDCUP!BD63</f>
        <v>Suecia</v>
      </c>
      <c r="I40" s="9" t="str">
        <f ca="1">+WORLDCUP!BD66</f>
        <v>Senegal</v>
      </c>
      <c r="J40" s="9" t="str">
        <f ca="1">+WORLDCUP!BD68</f>
        <v>Uzbekistán</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Nueva Zelanda</v>
      </c>
      <c r="I47" s="9" t="str">
        <f ca="1">+WORLDCUP!BD69</f>
        <v>Ghana</v>
      </c>
      <c r="J47" s="9" t="str">
        <f ca="1">+WORLDCUP!BD68</f>
        <v>Uzbekistán</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Ghana</v>
      </c>
      <c r="J48" s="9" t="str">
        <f ca="1">+WORLDCUP!BD68</f>
        <v>Uzbekistán</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Uzbekistán</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Nueva Zelanda</v>
      </c>
      <c r="I50" s="9" t="str">
        <f ca="1">+WORLDCUP!BD69</f>
        <v>Ghana</v>
      </c>
      <c r="J50" s="9" t="str">
        <f ca="1">+WORLDCUP!BD68</f>
        <v>Uzbekistán</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Uzbekistán</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Uzbekistán</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Nueva Zelanda</v>
      </c>
      <c r="I54" s="9" t="str">
        <f ca="1">+WORLDCUP!BD66</f>
        <v>Senegal</v>
      </c>
      <c r="J54" s="9" t="str">
        <f ca="1">+WORLDCUP!BD68</f>
        <v>Uzbekistán</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Nueva Zelanda</v>
      </c>
      <c r="I55" s="9" t="str">
        <f ca="1">+WORLDCUP!BD69</f>
        <v>Ghana</v>
      </c>
      <c r="J55" s="9" t="str">
        <f ca="1">+WORLDCUP!BD68</f>
        <v>Uzbekistán</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Uzbekistán</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Nueva Zelanda</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Uzbekistán</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Nueva Zelanda</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Uzbekistán</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Nueva Zelanda</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Uzbekistán</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Nueva Zelanda</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Nueva Zelanda</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Uzbekistán</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Uzbekistán</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Nueva Zelanda</v>
      </c>
      <c r="I63" s="9" t="str">
        <f ca="1">+WORLDCUP!BD69</f>
        <v>Ghana</v>
      </c>
      <c r="J63" s="9" t="str">
        <f ca="1">+WORLDCUP!BD68</f>
        <v>Uzbekistán</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Nueva Zelanda</v>
      </c>
      <c r="I64" s="9" t="str">
        <f ca="1">+WORLDCUP!BD69</f>
        <v>Ghana</v>
      </c>
      <c r="J64" s="9" t="str">
        <f ca="1">+WORLDCUP!BD68</f>
        <v>Uzbekistán</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Nueva Zelanda</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Uzbekistán</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Nueva Zelanda</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Nueva Zelanda</v>
      </c>
      <c r="I67" s="9" t="str">
        <f ca="1">+WORLDCUP!BD66</f>
        <v>Senegal</v>
      </c>
      <c r="J67" s="9" t="str">
        <f ca="1">+WORLDCUP!BD68</f>
        <v>Uzbekistán</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Uzbekistán</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Uzbekistán</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Uzbekistán</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Uzbekistán</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Nueva Zelanda</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Uzbekistán</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Nueva Zelanda</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Uzbekistán</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Nueva Zelanda</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Nueva Zelanda</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Uzbekistán</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Nueva Zelanda</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Uzbekistán</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Nueva Zelanda</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Nueva Zelanda</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Uzbekistán</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Nueva Zelanda</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Nueva Zelanda</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Uzbekistán</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Nueva Zelanda</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Nueva Zelanda</v>
      </c>
      <c r="I83" s="9" t="str">
        <f ca="1">+WORLDCUP!BD69</f>
        <v>Ghana</v>
      </c>
      <c r="J83" s="9" t="str">
        <f ca="1">+WORLDCUP!BD68</f>
        <v>Uzbekistán</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Uzbekistán</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Ghana</v>
      </c>
      <c r="J85" s="9" t="str">
        <f ca="1">+WORLDCUP!BD68</f>
        <v>Uzbekistán</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Ghana</v>
      </c>
      <c r="J86" s="9" t="str">
        <f ca="1">+WORLDCUP!BD68</f>
        <v>Uzbekistán</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Suecia</v>
      </c>
      <c r="I87" s="9" t="str">
        <f ca="1">+WORLDCUP!BD69</f>
        <v>Ghana</v>
      </c>
      <c r="J87" s="9" t="str">
        <f ca="1">+WORLDCUP!BD68</f>
        <v>Uzbekistán</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Uzbekistán</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Nueva Zelanda</v>
      </c>
      <c r="I91" s="9" t="str">
        <f ca="1">+WORLDCUP!BD69</f>
        <v>Ghana</v>
      </c>
      <c r="J91" s="9" t="str">
        <f ca="1">+WORLDCUP!BD68</f>
        <v>Uzbekistán</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Uzbekistán</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Uzbekistán</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Uzbekistán</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Uzbekistán</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Uzbekistán</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Uzbekistán</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Uzbekistán</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Uzbekistán</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Uzbekistán</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Uzbekistán</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Uzbekistán</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Uzbekistán</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Uzbekistán</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Uzbekistán</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Uzbekistán</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Uzbekistán</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Uzbekistán</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Uzbekistán</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Uzbekistán</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Uzbekistán</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Uzbekistán</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Nueva Zelanda</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Uzbekistán</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Nueva Zelanda</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Uzbekistán</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Nueva Zelanda</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Nueva Zelanda</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Uzbekistán</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Nueva Zelanda</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Uzbekistán</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Nueva Zelanda</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Uzbekistán</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Nueva Zelanda</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Nueva Zelanda</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Uzbekistán</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Uzbekistán</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Uzbekistán</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Uzbekistán</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Uzbekistán</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Uzbekistán</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Uzbekistán</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Uzbekistán</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Uzbekistán</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Uzbekistán</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Uzbekistán</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Uzbekistán</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Uzbekistán</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Uzbekistán</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Uzbekistán</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Uzbekistán</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Uzbekistán</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Nueva Zelanda</v>
      </c>
      <c r="I167" s="9" t="str">
        <f ca="1">+WORLDCUP!BD69</f>
        <v>Ghana</v>
      </c>
      <c r="J167" s="9" t="str">
        <f ca="1">+WORLDCUP!BD68</f>
        <v>Uzbekistán</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Nueva Zelanda</v>
      </c>
      <c r="I168" s="9" t="str">
        <f ca="1">+WORLDCUP!BD69</f>
        <v>Ghana</v>
      </c>
      <c r="J168" s="9" t="str">
        <f ca="1">+WORLDCUP!BD68</f>
        <v>Uzbekistán</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Uzbekistán</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Nueva Zelanda</v>
      </c>
      <c r="I170" s="9" t="str">
        <f ca="1">+WORLDCUP!BD69</f>
        <v>Ghana</v>
      </c>
      <c r="J170" s="9" t="str">
        <f ca="1">+WORLDCUP!BD68</f>
        <v>Uzbekistán</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Uzbekistán</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Uzbekistán</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Uzbekistán</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Nueva Zelanda</v>
      </c>
      <c r="I175" s="9" t="str">
        <f ca="1">+WORLDCUP!BD69</f>
        <v>Ghana</v>
      </c>
      <c r="J175" s="9" t="str">
        <f ca="1">+WORLDCUP!BD68</f>
        <v>Uzbekistán</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Uzbekistán</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Nueva Zelanda</v>
      </c>
      <c r="E177" s="9" t="str">
        <f ca="1">+WORLDCUP!BD67</f>
        <v>Argelia</v>
      </c>
      <c r="F177" s="9" t="str">
        <f ca="1">+WORLDCUP!BD61</f>
        <v>Paraguay</v>
      </c>
      <c r="G177" s="9" t="str">
        <f ca="1">+WORLDCUP!BD58</f>
        <v>Corea del Sur</v>
      </c>
      <c r="H177" s="9" t="str">
        <f ca="1">+WORLDCUP!BD63</f>
        <v>Suecia</v>
      </c>
      <c r="I177" s="9" t="str">
        <f ca="1">+WORLDCUP!BD69</f>
        <v>Ghana</v>
      </c>
      <c r="J177" s="9" t="str">
        <f ca="1">+WORLDCUP!BD68</f>
        <v>Uzbekistán</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Corea del Sur</v>
      </c>
      <c r="H178" s="9" t="str">
        <f ca="1">+WORLDCUP!BD63</f>
        <v>Suecia</v>
      </c>
      <c r="I178" s="9" t="str">
        <f ca="1">+WORLDCUP!BD69</f>
        <v>Ghana</v>
      </c>
      <c r="J178" s="9" t="str">
        <f ca="1">+WORLDCUP!BD68</f>
        <v>Uzbekistán</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Corea del Sur</v>
      </c>
      <c r="H179" s="9" t="str">
        <f ca="1">+WORLDCUP!BD63</f>
        <v>Suecia</v>
      </c>
      <c r="I179" s="9" t="str">
        <f ca="1">+WORLDCUP!BD69</f>
        <v>Ghana</v>
      </c>
      <c r="J179" s="9" t="str">
        <f ca="1">+WORLDCUP!BD68</f>
        <v>Uzbekistán</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Uzbekistán</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Uzbekistán</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Nueva Zelanda</v>
      </c>
      <c r="I183" s="9" t="str">
        <f ca="1">+WORLDCUP!BD69</f>
        <v>Ghana</v>
      </c>
      <c r="J183" s="9" t="str">
        <f ca="1">+WORLDCUP!BD68</f>
        <v>Uzbekistán</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Nueva Zelanda</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Uzbekistán</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Nueva Zelanda</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Uzbekistán</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Nueva Zelanda</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Nueva Zelanda</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Uzbekistán</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Uzbekistán</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Suecia</v>
      </c>
      <c r="I189" s="9" t="str">
        <f ca="1">+WORLDCUP!BD69</f>
        <v>Ghana</v>
      </c>
      <c r="J189" s="9" t="str">
        <f ca="1">+WORLDCUP!BD68</f>
        <v>Uzbekistán</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Suecia</v>
      </c>
      <c r="I190" s="9" t="str">
        <f ca="1">+WORLDCUP!BD69</f>
        <v>Ghana</v>
      </c>
      <c r="J190" s="9" t="str">
        <f ca="1">+WORLDCUP!BD68</f>
        <v>Uzbekistán</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Suecia</v>
      </c>
      <c r="I192" s="9" t="str">
        <f ca="1">+WORLDCUP!BD66</f>
        <v>Senegal</v>
      </c>
      <c r="J192" s="9" t="str">
        <f ca="1">+WORLDCUP!BD68</f>
        <v>Uzbekistán</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Nueva Zelanda</v>
      </c>
      <c r="E193" s="9" t="str">
        <f ca="1">+WORLDCUP!BD67</f>
        <v>Argelia</v>
      </c>
      <c r="F193" s="9" t="str">
        <f ca="1">+WORLDCUP!BD61</f>
        <v>Paraguay</v>
      </c>
      <c r="G193" s="9" t="str">
        <f ca="1">+WORLDCUP!BD58</f>
        <v>Corea del Sur</v>
      </c>
      <c r="H193" s="9" t="str">
        <f ca="1">+WORLDCUP!BD63</f>
        <v>Suecia</v>
      </c>
      <c r="I193" s="9" t="str">
        <f ca="1">+WORLDCUP!BD69</f>
        <v>Ghana</v>
      </c>
      <c r="J193" s="9" t="str">
        <f ca="1">+WORLDCUP!BD68</f>
        <v>Uzbekistán</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Nueva Zelanda</v>
      </c>
      <c r="E194" s="9" t="str">
        <f ca="1">+WORLDCUP!BD66</f>
        <v>Senegal</v>
      </c>
      <c r="F194" s="9" t="str">
        <f ca="1">+WORLDCUP!BD61</f>
        <v>Paraguay</v>
      </c>
      <c r="G194" s="9" t="str">
        <f ca="1">+WORLDCUP!BD58</f>
        <v>Corea del Sur</v>
      </c>
      <c r="H194" s="9" t="str">
        <f ca="1">+WORLDCUP!BD63</f>
        <v>Suecia</v>
      </c>
      <c r="I194" s="9" t="str">
        <f ca="1">+WORLDCUP!BD69</f>
        <v>Ghana</v>
      </c>
      <c r="J194" s="9" t="str">
        <f ca="1">+WORLDCUP!BD68</f>
        <v>Uzbekistán</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Nueva Zelanda</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Nueva Zelanda</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Uzbekistán</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Nueva Zelanda</v>
      </c>
      <c r="E197" s="9" t="str">
        <f ca="1">+WORLDCUP!BD62</f>
        <v>Costa de Marfil</v>
      </c>
      <c r="F197" s="9" t="str">
        <f ca="1">+WORLDCUP!BD61</f>
        <v>Paraguay</v>
      </c>
      <c r="G197" s="9" t="str">
        <f ca="1">+WORLDCUP!BD58</f>
        <v>Corea del Sur</v>
      </c>
      <c r="H197" s="9" t="str">
        <f ca="1">+WORLDCUP!BD63</f>
        <v>Suecia</v>
      </c>
      <c r="I197" s="9" t="str">
        <f ca="1">+WORLDCUP!BD69</f>
        <v>Ghana</v>
      </c>
      <c r="J197" s="9" t="str">
        <f ca="1">+WORLDCUP!BD68</f>
        <v>Uzbekistán</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Corea del Sur</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Corea del Sur</v>
      </c>
      <c r="H199" s="9" t="str">
        <f ca="1">+WORLDCUP!BD63</f>
        <v>Suecia</v>
      </c>
      <c r="I199" s="9" t="str">
        <f ca="1">+WORLDCUP!BD62</f>
        <v>Costa de Marfil</v>
      </c>
      <c r="J199" s="9" t="str">
        <f ca="1">+WORLDCUP!BD68</f>
        <v>Uzbekistán</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Nueva Zelanda</v>
      </c>
      <c r="E200" s="9" t="str">
        <f ca="1">+WORLDCUP!BD62</f>
        <v>Costa de Marfil</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Nueva Zelanda</v>
      </c>
      <c r="E201" s="9" t="str">
        <f ca="1">+WORLDCUP!BD62</f>
        <v>Costa de Marfil</v>
      </c>
      <c r="F201" s="9" t="str">
        <f ca="1">+WORLDCUP!BD61</f>
        <v>Paraguay</v>
      </c>
      <c r="G201" s="9" t="str">
        <f ca="1">+WORLDCUP!BD58</f>
        <v>Corea del Sur</v>
      </c>
      <c r="H201" s="9" t="str">
        <f ca="1">+WORLDCUP!BD63</f>
        <v>Suecia</v>
      </c>
      <c r="I201" s="9" t="str">
        <f ca="1">+WORLDCUP!BD66</f>
        <v>Senegal</v>
      </c>
      <c r="J201" s="9" t="str">
        <f ca="1">+WORLDCUP!BD68</f>
        <v>Uzbekistán</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Corea del Sur</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Nueva Zelanda</v>
      </c>
      <c r="I203" s="9" t="str">
        <f ca="1">+WORLDCUP!BD69</f>
        <v>Ghana</v>
      </c>
      <c r="J203" s="9" t="str">
        <f ca="1">+WORLDCUP!BD68</f>
        <v>Uzbekistán</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Uzbekistán</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Nueva Zelanda</v>
      </c>
      <c r="E205" s="9" t="str">
        <f ca="1">+WORLDCUP!BD67</f>
        <v>Argelia</v>
      </c>
      <c r="F205" s="9" t="str">
        <f ca="1">+WORLDCUP!BD60</f>
        <v>Escocia</v>
      </c>
      <c r="G205" s="9" t="str">
        <f ca="1">+WORLDCUP!BD58</f>
        <v>Corea del Sur</v>
      </c>
      <c r="H205" s="9" t="str">
        <f ca="1">+WORLDCUP!BD63</f>
        <v>Suecia</v>
      </c>
      <c r="I205" s="9" t="str">
        <f ca="1">+WORLDCUP!BD69</f>
        <v>Ghana</v>
      </c>
      <c r="J205" s="9" t="str">
        <f ca="1">+WORLDCUP!BD68</f>
        <v>Uzbekistán</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Corea del Sur</v>
      </c>
      <c r="H206" s="9" t="str">
        <f ca="1">+WORLDCUP!BD63</f>
        <v>Suecia</v>
      </c>
      <c r="I206" s="9" t="str">
        <f ca="1">+WORLDCUP!BD69</f>
        <v>Ghana</v>
      </c>
      <c r="J206" s="9" t="str">
        <f ca="1">+WORLDCUP!BD68</f>
        <v>Uzbekistán</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Corea del Sur</v>
      </c>
      <c r="H207" s="9" t="str">
        <f ca="1">+WORLDCUP!BD63</f>
        <v>Suecia</v>
      </c>
      <c r="I207" s="9" t="str">
        <f ca="1">+WORLDCUP!BD69</f>
        <v>Ghana</v>
      </c>
      <c r="J207" s="9" t="str">
        <f ca="1">+WORLDCUP!BD68</f>
        <v>Uzbekistán</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Uzbekistán</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Uzbekistán</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Nueva Zelanda</v>
      </c>
      <c r="I211" s="9" t="str">
        <f ca="1">+WORLDCUP!BD69</f>
        <v>Ghana</v>
      </c>
      <c r="J211" s="9" t="str">
        <f ca="1">+WORLDCUP!BD68</f>
        <v>Uzbekistán</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Uzbekistán</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Uzbekistán</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Uzbekistán</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Uzbekistán</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Uzbekistán</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Uzbekistán</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Uzbekistán</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Corea del Sur</v>
      </c>
      <c r="H221" s="9" t="str">
        <f ca="1">+WORLDCUP!BD63</f>
        <v>Suecia</v>
      </c>
      <c r="I221" s="9" t="str">
        <f ca="1">+WORLDCUP!BD69</f>
        <v>Ghana</v>
      </c>
      <c r="J221" s="9" t="str">
        <f ca="1">+WORLDCUP!BD68</f>
        <v>Uzbekistán</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Corea del Sur</v>
      </c>
      <c r="H222" s="9" t="str">
        <f ca="1">+WORLDCUP!BD63</f>
        <v>Suecia</v>
      </c>
      <c r="I222" s="9" t="str">
        <f ca="1">+WORLDCUP!BD69</f>
        <v>Ghana</v>
      </c>
      <c r="J222" s="9" t="str">
        <f ca="1">+WORLDCUP!BD68</f>
        <v>Uzbekistán</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Uzbekistán</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Uzbekistán</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Uzbekistán</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Uzbekistán</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Uzbekistán</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Nueva Zelanda</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Uzbekistán</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Uzbekistán</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Uzbekistán</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Uzbekistán</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Uzbekistán</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Uzbekistán</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Uzbekistán</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Uzbekistán</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Corea del Sur</v>
      </c>
      <c r="H242" s="9" t="str">
        <f ca="1">+WORLDCUP!BD63</f>
        <v>Suecia</v>
      </c>
      <c r="I242" s="9" t="str">
        <f ca="1">+WORLDCUP!BD69</f>
        <v>Ghana</v>
      </c>
      <c r="J242" s="9" t="str">
        <f ca="1">+WORLDCUP!BD68</f>
        <v>Uzbekistán</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Corea del Sur</v>
      </c>
      <c r="H243" s="9" t="str">
        <f ca="1">+WORLDCUP!BD63</f>
        <v>Suecia</v>
      </c>
      <c r="I243" s="9" t="str">
        <f ca="1">+WORLDCUP!BD69</f>
        <v>Ghana</v>
      </c>
      <c r="J243" s="9" t="str">
        <f ca="1">+WORLDCUP!BD68</f>
        <v>Uzbekistán</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Uzbekistán</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Corea del Sur</v>
      </c>
      <c r="H246" s="9" t="str">
        <f ca="1">+WORLDCUP!BD61</f>
        <v>Paraguay</v>
      </c>
      <c r="I246" s="9" t="str">
        <f ca="1">+WORLDCUP!BD69</f>
        <v>Ghana</v>
      </c>
      <c r="J246" s="9" t="str">
        <f ca="1">+WORLDCUP!BD68</f>
        <v>Uzbekistán</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Corea del Sur</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Uzbekistán</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Uzbekistán</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Uzbekistán</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Uzbekistán</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Uzbekistán</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Uzbekistán</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Uzbekistán</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Uzbekistán</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Uzbekistán</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Uzbekistán</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Uzbekistán</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Uzbekistán</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Suecia</v>
      </c>
      <c r="I267" s="9" t="str">
        <f ca="1">+WORLDCUP!BD69</f>
        <v>Ghana</v>
      </c>
      <c r="J267" s="9" t="str">
        <f ca="1">+WORLDCUP!BD68</f>
        <v>Uzbekistán</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Suecia</v>
      </c>
      <c r="I268" s="9" t="str">
        <f ca="1">+WORLDCUP!BD69</f>
        <v>Ghana</v>
      </c>
      <c r="J268" s="9" t="str">
        <f ca="1">+WORLDCUP!BD68</f>
        <v>Uzbekistán</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Suecia</v>
      </c>
      <c r="I270" s="9" t="str">
        <f ca="1">+WORLDCUP!BD66</f>
        <v>Senegal</v>
      </c>
      <c r="J270" s="9" t="str">
        <f ca="1">+WORLDCUP!BD68</f>
        <v>Uzbekistán</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Paraguay</v>
      </c>
      <c r="I271" s="9" t="str">
        <f ca="1">+WORLDCUP!BD69</f>
        <v>Ghana</v>
      </c>
      <c r="J271" s="9" t="str">
        <f ca="1">+WORLDCUP!BD68</f>
        <v>Uzbekistán</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Paraguay</v>
      </c>
      <c r="J273" s="9" t="str">
        <f ca="1">+WORLDCUP!BD68</f>
        <v>Uzbekistán</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Uzbekistán</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Corea del Sur</v>
      </c>
      <c r="H277" s="9" t="str">
        <f ca="1">+WORLDCUP!BD63</f>
        <v>Suecia</v>
      </c>
      <c r="I277" s="9" t="str">
        <f ca="1">+WORLDCUP!BD69</f>
        <v>Ghana</v>
      </c>
      <c r="J277" s="9" t="str">
        <f ca="1">+WORLDCUP!BD68</f>
        <v>Uzbekistán</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Corea del Sur</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Corea del Sur</v>
      </c>
      <c r="H279" s="9" t="str">
        <f ca="1">+WORLDCUP!BD63</f>
        <v>Suecia</v>
      </c>
      <c r="I279" s="9" t="str">
        <f ca="1">+WORLDCUP!BD62</f>
        <v>Costa de Marfil</v>
      </c>
      <c r="J279" s="9" t="str">
        <f ca="1">+WORLDCUP!BD68</f>
        <v>Uzbekistán</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Corea del Sur</v>
      </c>
      <c r="H281" s="9" t="str">
        <f ca="1">+WORLDCUP!BD63</f>
        <v>Suecia</v>
      </c>
      <c r="I281" s="9" t="str">
        <f ca="1">+WORLDCUP!BD66</f>
        <v>Senegal</v>
      </c>
      <c r="J281" s="9" t="str">
        <f ca="1">+WORLDCUP!BD68</f>
        <v>Uzbekistán</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Corea del Sur</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Corea del Sur</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Corea del Sur</v>
      </c>
      <c r="H284" s="9" t="str">
        <f ca="1">+WORLDCUP!BD63</f>
        <v>Suecia</v>
      </c>
      <c r="I284" s="9" t="str">
        <f ca="1">+WORLDCUP!BD61</f>
        <v>Paraguay</v>
      </c>
      <c r="J284" s="9" t="str">
        <f ca="1">+WORLDCUP!BD68</f>
        <v>Uzbekistán</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Nueva Zelanda</v>
      </c>
      <c r="I287" s="9" t="str">
        <f ca="1">+WORLDCUP!BD69</f>
        <v>Ghana</v>
      </c>
      <c r="J287" s="9" t="str">
        <f ca="1">+WORLDCUP!BD68</f>
        <v>Uzbekistán</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Uzbekistán</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Nueva Zelanda</v>
      </c>
      <c r="I289" s="9" t="str">
        <f ca="1">+WORLDCUP!BD69</f>
        <v>Ghana</v>
      </c>
      <c r="J289" s="9" t="str">
        <f ca="1">+WORLDCUP!BD68</f>
        <v>Uzbekistán</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Nueva Zelanda</v>
      </c>
      <c r="I290" s="9" t="str">
        <f ca="1">+WORLDCUP!BD69</f>
        <v>Ghana</v>
      </c>
      <c r="J290" s="9" t="str">
        <f ca="1">+WORLDCUP!BD68</f>
        <v>Uzbekistán</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Nueva Zelanda</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Uzbekistán</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Nueva Zelanda</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Nueva Zelanda</v>
      </c>
      <c r="I293" s="9" t="str">
        <f ca="1">+WORLDCUP!BD66</f>
        <v>Senegal</v>
      </c>
      <c r="J293" s="9" t="str">
        <f ca="1">+WORLDCUP!BD68</f>
        <v>Uzbekistán</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Uzbekistán</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Nueva Zelanda</v>
      </c>
      <c r="I295" s="9" t="str">
        <f ca="1">+WORLDCUP!BD69</f>
        <v>Ghana</v>
      </c>
      <c r="J295" s="9" t="str">
        <f ca="1">+WORLDCUP!BD68</f>
        <v>Uzbekistán</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Nueva Zelanda</v>
      </c>
      <c r="I296" s="9" t="str">
        <f ca="1">+WORLDCUP!BD69</f>
        <v>Ghana</v>
      </c>
      <c r="J296" s="9" t="str">
        <f ca="1">+WORLDCUP!BD68</f>
        <v>Uzbekistán</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Nueva Zelanda</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Uzbekistán</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Nueva Zelanda</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Nueva Zelanda</v>
      </c>
      <c r="I299" s="9" t="str">
        <f ca="1">+WORLDCUP!BD66</f>
        <v>Senegal</v>
      </c>
      <c r="J299" s="9" t="str">
        <f ca="1">+WORLDCUP!BD68</f>
        <v>Uzbekistán</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Uzbekistán</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Uzbekistán</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Uzbekistán</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Uzbekistán</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Nueva Zelanda</v>
      </c>
      <c r="I305" s="9" t="str">
        <f ca="1">+WORLDCUP!BD69</f>
        <v>Ghana</v>
      </c>
      <c r="J305" s="9" t="str">
        <f ca="1">+WORLDCUP!BD68</f>
        <v>Uzbekistán</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Nueva Zelanda</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Uzbekistán</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Nueva Zelanda</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Nueva Zelanda</v>
      </c>
      <c r="I308" s="9" t="str">
        <f ca="1">+WORLDCUP!BD66</f>
        <v>Senegal</v>
      </c>
      <c r="J308" s="9" t="str">
        <f ca="1">+WORLDCUP!BD68</f>
        <v>Uzbekistán</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Uzbekistán</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Nueva Zelanda</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Nueva Zelanda</v>
      </c>
      <c r="I311" s="9" t="str">
        <f ca="1">+WORLDCUP!BD62</f>
        <v>Costa de Marfil</v>
      </c>
      <c r="J311" s="9" t="str">
        <f ca="1">+WORLDCUP!BD68</f>
        <v>Uzbekistán</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Uzbekistán</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Nueva Zelanda</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Uzbekistán</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Nueva Zelanda</v>
      </c>
      <c r="I316" s="9" t="str">
        <f ca="1">+WORLDCUP!BD69</f>
        <v>Ghana</v>
      </c>
      <c r="J316" s="9" t="str">
        <f ca="1">+WORLDCUP!BD68</f>
        <v>Uzbekistán</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Corea del Sur</v>
      </c>
      <c r="H317" s="9" t="str">
        <f ca="1">+WORLDCUP!BD64</f>
        <v>Nueva Zelanda</v>
      </c>
      <c r="I317" s="9" t="str">
        <f ca="1">+WORLDCUP!BD69</f>
        <v>Ghana</v>
      </c>
      <c r="J317" s="9" t="str">
        <f ca="1">+WORLDCUP!BD68</f>
        <v>Uzbekistán</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Nueva Zelanda</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Uzbekistán</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Corea del Sur</v>
      </c>
      <c r="H319" s="9" t="str">
        <f ca="1">+WORLDCUP!BD64</f>
        <v>Nueva Zelanda</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Corea del Sur</v>
      </c>
      <c r="H320" s="9" t="str">
        <f ca="1">+WORLDCUP!BD64</f>
        <v>Nueva Zelanda</v>
      </c>
      <c r="I320" s="9" t="str">
        <f ca="1">+WORLDCUP!BD66</f>
        <v>Senegal</v>
      </c>
      <c r="J320" s="9" t="str">
        <f ca="1">+WORLDCUP!BD68</f>
        <v>Uzbekistán</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Uzbekistán</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Uzbekistán</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Uzbekistán</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Uzbekistán</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Nueva Zelanda</v>
      </c>
      <c r="I326" s="9" t="str">
        <f ca="1">+WORLDCUP!BD69</f>
        <v>Ghana</v>
      </c>
      <c r="J326" s="9" t="str">
        <f ca="1">+WORLDCUP!BD68</f>
        <v>Uzbekistán</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Nueva Zelanda</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Uzbekistán</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Nueva Zelanda</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Nueva Zelanda</v>
      </c>
      <c r="I329" s="9" t="str">
        <f ca="1">+WORLDCUP!BD66</f>
        <v>Senegal</v>
      </c>
      <c r="J329" s="9" t="str">
        <f ca="1">+WORLDCUP!BD68</f>
        <v>Uzbekistán</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Nueva Zelanda</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Uzbekistán</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Nueva Zelanda</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Nueva Zelanda</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Uzbekistán</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Nueva Zelanda</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Nueva Zelanda</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Uzbekistán</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Nueva Zelanda</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Uzbekistán</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Uzbekistán</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Uzbekistán</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Uzbekistán</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Corea del Sur</v>
      </c>
      <c r="H341" s="9" t="str">
        <f ca="1">+WORLDCUP!BD64</f>
        <v>Nueva Zelanda</v>
      </c>
      <c r="I341" s="9" t="str">
        <f ca="1">+WORLDCUP!BD69</f>
        <v>Ghana</v>
      </c>
      <c r="J341" s="9" t="str">
        <f ca="1">+WORLDCUP!BD68</f>
        <v>Uzbekistán</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Nueva Zelanda</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Uzbekistán</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Corea del Sur</v>
      </c>
      <c r="H343" s="9" t="str">
        <f ca="1">+WORLDCUP!BD64</f>
        <v>Nueva Zelanda</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Corea del Sur</v>
      </c>
      <c r="H344" s="9" t="str">
        <f ca="1">+WORLDCUP!BD64</f>
        <v>Nueva Zelanda</v>
      </c>
      <c r="I344" s="9" t="str">
        <f ca="1">+WORLDCUP!BD66</f>
        <v>Senegal</v>
      </c>
      <c r="J344" s="9" t="str">
        <f ca="1">+WORLDCUP!BD68</f>
        <v>Uzbekistán</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Nueva Zelanda</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Uzbekistán</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Corea del Sur</v>
      </c>
      <c r="H346" s="9" t="str">
        <f ca="1">+WORLDCUP!BD64</f>
        <v>Nueva Zelanda</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Corea del Sur</v>
      </c>
      <c r="H347" s="9" t="str">
        <f ca="1">+WORLDCUP!BD64</f>
        <v>Nueva Zelanda</v>
      </c>
      <c r="I347" s="9" t="str">
        <f ca="1">+WORLDCUP!BD62</f>
        <v>Costa de Marfil</v>
      </c>
      <c r="J347" s="9" t="str">
        <f ca="1">+WORLDCUP!BD68</f>
        <v>Uzbekistán</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Nueva Zelanda</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Nueva Zelanda</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Uzbekistán</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Corea del Sur</v>
      </c>
      <c r="H350" s="9" t="str">
        <f ca="1">+WORLDCUP!BD64</f>
        <v>Nueva Zelanda</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Uzbekistán</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Uzbekistán</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Uzbekistán</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Uzbekistán</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Costa de Marfil</v>
      </c>
      <c r="J357" s="9" t="str">
        <f ca="1">+WORLDCUP!BD68</f>
        <v>Uzbekistán</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Uzbekistán</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Nueva Zelanda</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Uzbekistán</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Nueva Zelanda</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Nueva Zelanda</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Uzbekistán</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Nueva Zelanda</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Nueva Zelanda</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Uzbekistán</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Nueva Zelanda</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Nueva Zelanda</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Nueva Zelanda</v>
      </c>
      <c r="E368" s="9" t="str">
        <f ca="1">+WORLDCUP!BD59</f>
        <v>Bosnia y Herzegovina</v>
      </c>
      <c r="F368" s="9" t="str">
        <f ca="1">+WORLDCUP!BD61</f>
        <v>Paraguay</v>
      </c>
      <c r="G368" s="9" t="str">
        <f ca="1">+WORLDCUP!BD58</f>
        <v>Corea del Sur</v>
      </c>
      <c r="H368" s="9" t="str">
        <f ca="1">+WORLDCUP!BD63</f>
        <v>Suecia</v>
      </c>
      <c r="I368" s="9" t="str">
        <f ca="1">+WORLDCUP!BD62</f>
        <v>Costa de Marfil</v>
      </c>
      <c r="J368" s="9" t="str">
        <f ca="1">+WORLDCUP!BD68</f>
        <v>Uzbekistán</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Nueva Zelanda</v>
      </c>
      <c r="E369" s="9" t="str">
        <f ca="1">+WORLDCUP!BD59</f>
        <v>Bosnia y Herzegovina</v>
      </c>
      <c r="F369" s="9" t="str">
        <f ca="1">+WORLDCUP!BD61</f>
        <v>Paraguay</v>
      </c>
      <c r="G369" s="9" t="str">
        <f ca="1">+WORLDCUP!BD58</f>
        <v>Corea del Sur</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Nueva Zelanda</v>
      </c>
      <c r="E370" s="9" t="str">
        <f ca="1">+WORLDCUP!BD59</f>
        <v>Bosnia y Herzegovina</v>
      </c>
      <c r="F370" s="9" t="str">
        <f ca="1">+WORLDCUP!BD61</f>
        <v>Paraguay</v>
      </c>
      <c r="G370" s="9" t="str">
        <f ca="1">+WORLDCUP!BD58</f>
        <v>Corea del Sur</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Uzbekistán</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Nueva Zelanda</v>
      </c>
      <c r="I372" s="9" t="str">
        <f ca="1">+WORLDCUP!BD69</f>
        <v>Ghana</v>
      </c>
      <c r="J372" s="9" t="str">
        <f ca="1">+WORLDCUP!BD68</f>
        <v>Uzbekistán</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Nueva Zelanda</v>
      </c>
      <c r="I373" s="9" t="str">
        <f ca="1">+WORLDCUP!BD69</f>
        <v>Ghana</v>
      </c>
      <c r="J373" s="9" t="str">
        <f ca="1">+WORLDCUP!BD68</f>
        <v>Uzbekistán</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Uzbekistán</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Nueva Zelanda</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Nueva Zelanda</v>
      </c>
      <c r="I376" s="9" t="str">
        <f ca="1">+WORLDCUP!BD66</f>
        <v>Senegal</v>
      </c>
      <c r="J376" s="9" t="str">
        <f ca="1">+WORLDCUP!BD68</f>
        <v>Uzbekistán</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Uzbekistán</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Uzbekistán</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Uzbekistán</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Uzbekistán</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Nueva Zelanda</v>
      </c>
      <c r="I382" s="9" t="str">
        <f ca="1">+WORLDCUP!BD69</f>
        <v>Ghana</v>
      </c>
      <c r="J382" s="9" t="str">
        <f ca="1">+WORLDCUP!BD68</f>
        <v>Uzbekistán</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Uzbekistán</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Nueva Zelanda</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Nueva Zelanda</v>
      </c>
      <c r="I385" s="9" t="str">
        <f ca="1">+WORLDCUP!BD66</f>
        <v>Senegal</v>
      </c>
      <c r="J385" s="9" t="str">
        <f ca="1">+WORLDCUP!BD68</f>
        <v>Uzbekistán</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Uzbekistán</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Uzbekistán</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Uzbekistán</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Uzbekistán</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Uzbekistán</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Uzbekistán</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Uzbekistán</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Nueva Zelanda</v>
      </c>
      <c r="I397" s="9" t="str">
        <f ca="1">+WORLDCUP!BD69</f>
        <v>Ghana</v>
      </c>
      <c r="J397" s="9" t="str">
        <f ca="1">+WORLDCUP!BD68</f>
        <v>Uzbekistán</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Nueva Zelanda</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Uzbekistán</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Nueva Zelanda</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Nueva Zelanda</v>
      </c>
      <c r="I400" s="9" t="str">
        <f ca="1">+WORLDCUP!BD66</f>
        <v>Senegal</v>
      </c>
      <c r="J400" s="9" t="str">
        <f ca="1">+WORLDCUP!BD68</f>
        <v>Uzbekistán</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Uzbekistán</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Nueva Zelanda</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Nueva Zelanda</v>
      </c>
      <c r="I403" s="9" t="str">
        <f ca="1">+WORLDCUP!BD62</f>
        <v>Costa de Marfil</v>
      </c>
      <c r="J403" s="9" t="str">
        <f ca="1">+WORLDCUP!BD68</f>
        <v>Uzbekistán</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Uzbekistán</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Nueva Zelanda</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Uzbekistán</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1</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Uzbekistán</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Uzbekistán</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Uzbekistán</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Uzbekistán</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Uzbekistán</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Uzbekistán</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Uzbekistán</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Uzbekistán</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Uzbekistán</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Uzbekistán</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Uzbekistán</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Uzbekistán</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Uzbekistán</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Nueva Zelanda</v>
      </c>
      <c r="I432" s="9" t="str">
        <f ca="1">+WORLDCUP!BD69</f>
        <v>Ghana</v>
      </c>
      <c r="J432" s="9" t="str">
        <f ca="1">+WORLDCUP!BD68</f>
        <v>Uzbekistán</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Uzbekistán</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Nueva Zelanda</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Nueva Zelanda</v>
      </c>
      <c r="I435" s="9" t="str">
        <f ca="1">+WORLDCUP!BD66</f>
        <v>Senegal</v>
      </c>
      <c r="J435" s="9" t="str">
        <f ca="1">+WORLDCUP!BD68</f>
        <v>Uzbekistán</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Uzbekistán</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Uzbekistán</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Uzbekistán</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Uzbekistán</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Uzbekistán</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Uzbekistán</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Uzbekistán</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Uzbekistán</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Uzbekistán</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Nueva Zelanda</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Uzbekistán</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Nueva Zelanda</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Nueva Zelanda</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Uzbekistán</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Nueva Zelanda</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Nueva Zelanda</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Uzbekistán</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Nueva Zelanda</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Nueva Zelanda</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Uzbekistán</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Uzbekistán</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Uzbekistán</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Uzbekistán</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Uzbekistán</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Costa de Marfil</v>
      </c>
      <c r="J468" s="9" t="str">
        <f ca="1">+WORLDCUP!BD68</f>
        <v>Uzbekistán</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Uzbekistán</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Uzbekistán</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Uzbekistán</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Uzbekistán</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Corea del Sur</v>
      </c>
      <c r="H479" s="9" t="str">
        <f ca="1">+WORLDCUP!BD61</f>
        <v>Paraguay</v>
      </c>
      <c r="I479" s="9" t="str">
        <f ca="1">+WORLDCUP!BD62</f>
        <v>Costa de Marfil</v>
      </c>
      <c r="J479" s="9" t="str">
        <f ca="1">+WORLDCUP!BD68</f>
        <v>Uzbekistán</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Corea del Sur</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Corea del Sur</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Bosnia y Herzegovina</v>
      </c>
      <c r="F493" s="9" t="str">
        <f ca="1">+WORLDCUP!BD61</f>
        <v>Paraguay</v>
      </c>
      <c r="G493" s="9" t="str">
        <f ca="1">+WORLDCUP!BD58</f>
        <v>Corea del Sur</v>
      </c>
      <c r="H493" s="9" t="str">
        <f ca="1">+WORLDCUP!BD63</f>
        <v>Suecia</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Bosnia y Herzegovina</v>
      </c>
      <c r="F494" s="9" t="str">
        <f ca="1">+WORLDCUP!BD61</f>
        <v>Paraguay</v>
      </c>
      <c r="G494" s="9" t="str">
        <f ca="1">+WORLDCUP!BD58</f>
        <v>Corea del Sur</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Bosnia y Herzegovina</v>
      </c>
      <c r="F495" s="9" t="str">
        <f ca="1">+WORLDCUP!BD61</f>
        <v>Paraguay</v>
      </c>
      <c r="G495" s="9" t="str">
        <f ca="1">+WORLDCUP!BD58</f>
        <v>Corea del Sur</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46196.916666666664</v>
      </c>
      <c r="D87" s="622"/>
    </row>
    <row r="88" spans="1:35">
      <c r="A88" s="594">
        <v>46200.8125</v>
      </c>
      <c r="B88" s="16"/>
      <c r="C88" s="594">
        <f t="shared" ca="1" si="35"/>
        <v>46200.8125</v>
      </c>
      <c r="D88" s="622"/>
    </row>
    <row r="89" spans="1:35">
      <c r="A89" s="594">
        <v>46200.8125</v>
      </c>
      <c r="B89" s="16"/>
      <c r="C89" s="594">
        <f t="shared" ca="1" si="35"/>
        <v>46200.8125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46190.666666666664</v>
      </c>
      <c r="D92" s="622"/>
    </row>
    <row r="93" spans="1:35">
      <c r="A93" s="594">
        <v>46190.791666666664</v>
      </c>
      <c r="B93" s="16"/>
      <c r="C93" s="594">
        <f t="shared" ca="1" si="36"/>
        <v>46190.791666666664</v>
      </c>
      <c r="D93" s="622"/>
    </row>
    <row r="94" spans="1:35">
      <c r="A94" s="594">
        <v>46196.666666666664</v>
      </c>
      <c r="B94" s="16"/>
      <c r="C94" s="594">
        <f t="shared" ca="1" si="36"/>
        <v>46196.666666666664</v>
      </c>
      <c r="D94" s="622"/>
    </row>
    <row r="95" spans="1:35">
      <c r="A95" s="594">
        <v>46196.791666666664</v>
      </c>
      <c r="B95" s="16"/>
      <c r="C95" s="594">
        <f t="shared" ca="1" si="36"/>
        <v>46196.791666666664</v>
      </c>
      <c r="D95" s="622"/>
    </row>
    <row r="96" spans="1:35">
      <c r="A96" s="594">
        <v>46200.708333333336</v>
      </c>
      <c r="B96" s="16"/>
      <c r="C96" s="594">
        <f t="shared" ca="1" si="36"/>
        <v>46200.708333333336</v>
      </c>
      <c r="D96" s="622"/>
    </row>
    <row r="97" spans="1:10">
      <c r="A97" s="594">
        <v>46200.708333333336</v>
      </c>
      <c r="B97" s="16"/>
      <c r="C97" s="594">
        <f t="shared" ca="1" si="36"/>
        <v>46200.708333333336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46201.625</v>
      </c>
      <c r="F101" s="16">
        <v>73</v>
      </c>
      <c r="G101" s="594">
        <v>46201.625</v>
      </c>
      <c r="I101" s="16">
        <v>73</v>
      </c>
      <c r="J101" s="594">
        <v>46201.625</v>
      </c>
    </row>
    <row r="102" spans="1:10">
      <c r="A102" s="594">
        <v>46202.541666666664</v>
      </c>
      <c r="B102" s="16"/>
      <c r="C102" s="594">
        <f t="shared" ca="1" si="37"/>
        <v>46202.541666666664</v>
      </c>
      <c r="F102" s="16">
        <v>76</v>
      </c>
      <c r="G102" s="594">
        <v>46202.541666666664</v>
      </c>
      <c r="I102" s="16">
        <v>74</v>
      </c>
      <c r="J102" s="594">
        <v>46202.6875</v>
      </c>
    </row>
    <row r="103" spans="1:10">
      <c r="A103" s="594">
        <v>46202.6875</v>
      </c>
      <c r="B103" s="16"/>
      <c r="C103" s="594">
        <f t="shared" ca="1" si="37"/>
        <v>46202.6875</v>
      </c>
      <c r="F103" s="16">
        <v>74</v>
      </c>
      <c r="G103" s="594">
        <v>46202.6875</v>
      </c>
      <c r="I103" s="16">
        <v>75</v>
      </c>
      <c r="J103" s="594">
        <v>46202.875</v>
      </c>
    </row>
    <row r="104" spans="1:10">
      <c r="A104" s="594">
        <v>46202.875</v>
      </c>
      <c r="B104" s="16"/>
      <c r="C104" s="594">
        <f t="shared" ca="1" si="37"/>
        <v>46202.875</v>
      </c>
      <c r="F104" s="16">
        <v>75</v>
      </c>
      <c r="G104" s="594">
        <v>46202.875</v>
      </c>
      <c r="I104" s="16">
        <v>76</v>
      </c>
      <c r="J104" s="594">
        <v>46202.541666666664</v>
      </c>
    </row>
    <row r="105" spans="1:10">
      <c r="A105" s="594">
        <v>46203.541666666664</v>
      </c>
      <c r="B105" s="16"/>
      <c r="C105" s="594">
        <f t="shared" ca="1" si="37"/>
        <v>46203.541666666664</v>
      </c>
      <c r="F105" s="16">
        <v>78</v>
      </c>
      <c r="G105" s="594">
        <v>46203.541666666664</v>
      </c>
      <c r="I105" s="16">
        <v>77</v>
      </c>
      <c r="J105" s="594">
        <v>46203.708333333336</v>
      </c>
    </row>
    <row r="106" spans="1:10">
      <c r="A106" s="594">
        <v>46203.708333333336</v>
      </c>
      <c r="B106" s="16"/>
      <c r="C106" s="594">
        <f t="shared" ca="1" si="37"/>
        <v>46203.708333333336</v>
      </c>
      <c r="F106" s="16">
        <v>77</v>
      </c>
      <c r="G106" s="594">
        <v>46203.708333333336</v>
      </c>
      <c r="I106" s="16">
        <v>78</v>
      </c>
      <c r="J106" s="594">
        <v>46203.541666666664</v>
      </c>
    </row>
    <row r="107" spans="1:10">
      <c r="A107" s="594">
        <v>46203.875</v>
      </c>
      <c r="B107" s="16"/>
      <c r="C107" s="594">
        <f t="shared" ca="1" si="37"/>
        <v>46203.875</v>
      </c>
      <c r="F107" s="16">
        <v>79</v>
      </c>
      <c r="G107" s="594">
        <v>46203.875</v>
      </c>
      <c r="I107" s="16">
        <v>79</v>
      </c>
      <c r="J107" s="594">
        <v>46203.875</v>
      </c>
    </row>
    <row r="108" spans="1:10">
      <c r="A108" s="594">
        <v>46204.5</v>
      </c>
      <c r="B108" s="16"/>
      <c r="C108" s="594">
        <f t="shared" ca="1" si="37"/>
        <v>46204.5</v>
      </c>
      <c r="F108" s="16">
        <v>80</v>
      </c>
      <c r="G108" s="594">
        <v>46204.5</v>
      </c>
      <c r="I108" s="16">
        <v>80</v>
      </c>
      <c r="J108" s="594">
        <v>46204.5</v>
      </c>
    </row>
    <row r="109" spans="1:10">
      <c r="A109" s="594">
        <v>46204.666666666664</v>
      </c>
      <c r="B109" s="16"/>
      <c r="C109" s="594">
        <f t="shared" ca="1" si="37"/>
        <v>46204.666666666664</v>
      </c>
      <c r="F109" s="16">
        <v>82</v>
      </c>
      <c r="G109" s="594">
        <v>46204.666666666664</v>
      </c>
      <c r="I109" s="16">
        <v>81</v>
      </c>
      <c r="J109" s="594">
        <v>46204.833333333336</v>
      </c>
    </row>
    <row r="110" spans="1:10">
      <c r="A110" s="594">
        <v>46204.833333333336</v>
      </c>
      <c r="B110" s="16"/>
      <c r="C110" s="594">
        <f t="shared" ca="1" si="37"/>
        <v>46204.833333333336</v>
      </c>
      <c r="F110" s="16">
        <v>81</v>
      </c>
      <c r="G110" s="594">
        <v>46204.833333333336</v>
      </c>
      <c r="I110" s="16">
        <v>82</v>
      </c>
      <c r="J110" s="594">
        <v>46204.666666666664</v>
      </c>
    </row>
    <row r="111" spans="1:10">
      <c r="A111" s="594">
        <v>46205.625</v>
      </c>
      <c r="B111" s="16"/>
      <c r="C111" s="594">
        <f t="shared" ca="1" si="37"/>
        <v>46205.625</v>
      </c>
      <c r="F111" s="16">
        <v>84</v>
      </c>
      <c r="G111" s="594">
        <v>46205.625</v>
      </c>
      <c r="I111" s="16">
        <v>83</v>
      </c>
      <c r="J111" s="594">
        <v>46205.791666666664</v>
      </c>
    </row>
    <row r="112" spans="1:10">
      <c r="A112" s="594">
        <v>46205.791666666664</v>
      </c>
      <c r="B112" s="16"/>
      <c r="C112" s="594">
        <f t="shared" ca="1" si="37"/>
        <v>46205.791666666664</v>
      </c>
      <c r="F112" s="16">
        <v>83</v>
      </c>
      <c r="G112" s="594">
        <v>46205.791666666664</v>
      </c>
      <c r="I112" s="16">
        <v>84</v>
      </c>
      <c r="J112" s="594">
        <v>46205.625</v>
      </c>
    </row>
    <row r="113" spans="1:10">
      <c r="A113" s="594">
        <v>46205.958333333336</v>
      </c>
      <c r="B113" s="16"/>
      <c r="C113" s="594">
        <f t="shared" ca="1" si="37"/>
        <v>46205.958333333336</v>
      </c>
      <c r="F113" s="16">
        <v>85</v>
      </c>
      <c r="G113" s="594">
        <v>46205.958333333336</v>
      </c>
      <c r="I113" s="16">
        <v>85</v>
      </c>
      <c r="J113" s="594">
        <v>46205.958333333336</v>
      </c>
    </row>
    <row r="114" spans="1:10">
      <c r="A114" s="594">
        <v>46206.583333333336</v>
      </c>
      <c r="B114" s="16"/>
      <c r="C114" s="594">
        <f t="shared" ca="1" si="37"/>
        <v>46206.583333333336</v>
      </c>
      <c r="F114" s="16">
        <v>88</v>
      </c>
      <c r="G114" s="594">
        <v>46206.583333333336</v>
      </c>
      <c r="I114" s="16">
        <v>86</v>
      </c>
      <c r="J114" s="594">
        <v>46206.75</v>
      </c>
    </row>
    <row r="115" spans="1:10">
      <c r="A115" s="594">
        <v>46206.75</v>
      </c>
      <c r="B115" s="16"/>
      <c r="C115" s="594">
        <f t="shared" ca="1" si="37"/>
        <v>46206.75</v>
      </c>
      <c r="F115" s="16">
        <v>86</v>
      </c>
      <c r="G115" s="594">
        <v>46206.75</v>
      </c>
      <c r="I115" s="16">
        <v>87</v>
      </c>
      <c r="J115" s="594">
        <v>46206.895833333336</v>
      </c>
    </row>
    <row r="116" spans="1:10">
      <c r="A116" s="594">
        <v>46206.895833333336</v>
      </c>
      <c r="B116" s="16"/>
      <c r="C116" s="594">
        <f t="shared" ca="1" si="37"/>
        <v>46206.895833333336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c r="A121" s="594">
        <v>46207.708333333336</v>
      </c>
      <c r="B121" s="16"/>
      <c r="C121" s="594">
        <f t="shared" ca="1" si="38"/>
        <v>46207.708333333336</v>
      </c>
      <c r="D121" s="622"/>
      <c r="F121" s="16">
        <v>89</v>
      </c>
      <c r="G121" s="594">
        <v>46207.708333333336</v>
      </c>
      <c r="I121" s="16">
        <v>90</v>
      </c>
      <c r="J121" s="594">
        <v>46207.541666666664</v>
      </c>
    </row>
    <row r="122" spans="1:10">
      <c r="A122" s="594">
        <v>46208.666666666664</v>
      </c>
      <c r="B122" s="16"/>
      <c r="C122" s="594">
        <f t="shared" ca="1" si="38"/>
        <v>46208.666666666664</v>
      </c>
      <c r="D122" s="622"/>
      <c r="F122" s="16">
        <v>91</v>
      </c>
      <c r="G122" s="594">
        <v>46208.666666666664</v>
      </c>
      <c r="I122" s="16">
        <v>91</v>
      </c>
      <c r="J122" s="594">
        <v>46208.666666666664</v>
      </c>
    </row>
    <row r="123" spans="1:10">
      <c r="A123" s="594">
        <v>46208.833333333336</v>
      </c>
      <c r="B123" s="16"/>
      <c r="C123" s="594">
        <f t="shared" ca="1" si="38"/>
        <v>46208.833333333336</v>
      </c>
      <c r="D123" s="622"/>
      <c r="F123" s="16">
        <v>92</v>
      </c>
      <c r="G123" s="594">
        <v>46208.833333333336</v>
      </c>
      <c r="I123" s="16">
        <v>92</v>
      </c>
      <c r="J123" s="594">
        <v>46208.833333333336</v>
      </c>
    </row>
    <row r="124" spans="1:10">
      <c r="A124" s="594">
        <v>46209.625</v>
      </c>
      <c r="B124" s="16"/>
      <c r="C124" s="594">
        <f t="shared" ca="1" si="38"/>
        <v>46209.625</v>
      </c>
      <c r="D124" s="622"/>
      <c r="F124" s="16">
        <v>93</v>
      </c>
      <c r="G124" s="594">
        <v>46209.625</v>
      </c>
      <c r="I124" s="16">
        <v>93</v>
      </c>
      <c r="J124" s="594">
        <v>46209.625</v>
      </c>
    </row>
    <row r="125" spans="1:10">
      <c r="A125" s="594">
        <v>46209.833333333336</v>
      </c>
      <c r="B125" s="16"/>
      <c r="C125" s="594">
        <f t="shared" ca="1" si="38"/>
        <v>46209.833333333336</v>
      </c>
      <c r="D125" s="622"/>
      <c r="F125" s="16">
        <v>94</v>
      </c>
      <c r="G125" s="594">
        <v>46209.833333333336</v>
      </c>
      <c r="I125" s="16">
        <v>94</v>
      </c>
      <c r="J125" s="594">
        <v>46209.833333333336</v>
      </c>
    </row>
    <row r="126" spans="1:10">
      <c r="A126" s="594">
        <v>46210.5</v>
      </c>
      <c r="B126" s="16"/>
      <c r="C126" s="594">
        <f t="shared" ca="1" si="38"/>
        <v>46210.5</v>
      </c>
      <c r="D126" s="622"/>
      <c r="F126" s="16">
        <v>95</v>
      </c>
      <c r="G126" s="594">
        <v>46210.5</v>
      </c>
      <c r="I126" s="16">
        <v>95</v>
      </c>
      <c r="J126" s="594">
        <v>46210.5</v>
      </c>
    </row>
    <row r="127" spans="1:10">
      <c r="A127" s="594">
        <v>46210.666666666664</v>
      </c>
      <c r="B127" s="16"/>
      <c r="C127" s="594">
        <f t="shared" ca="1" si="38"/>
        <v>46210.666666666664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c r="A132" s="594">
        <v>46213.625</v>
      </c>
      <c r="B132" s="16"/>
      <c r="C132" s="594">
        <f ca="1">A132+INDEX($V$3:$V$86,MATCH($C$3,$P$3:$P$86,0))*INDEX($W$3:$W$86,MATCH($C$3,$P$3:$P$86,0))</f>
        <v>46213.625</v>
      </c>
      <c r="D132" s="622"/>
      <c r="F132" s="16">
        <v>98</v>
      </c>
      <c r="G132" s="594">
        <v>46213.625</v>
      </c>
      <c r="I132" s="16">
        <v>98</v>
      </c>
      <c r="J132" s="594">
        <v>46213.625</v>
      </c>
    </row>
    <row r="133" spans="1:10">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c r="A134" s="594">
        <v>46214.875</v>
      </c>
      <c r="B134" s="16"/>
      <c r="C134" s="594">
        <f ca="1">A134+INDEX($V$3:$V$86,MATCH($C$3,$P$3:$P$86,0))*INDEX($W$3:$W$86,MATCH($C$3,$P$3:$P$86,0))</f>
        <v>46214.875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46217.625</v>
      </c>
      <c r="D138" s="622"/>
    </row>
    <row r="139" spans="1:10">
      <c r="A139" s="594">
        <v>46218.625</v>
      </c>
      <c r="B139" s="16"/>
      <c r="C139" s="594">
        <f ca="1">A139+INDEX($V$3:$V$86,MATCH($C$3,$P$3:$P$86,0))*INDEX($W$3:$W$86,MATCH($C$3,$P$3:$P$86,0))</f>
        <v>46218.625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46221.708333333336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Lidia&amp;8piMini</cp:lastModifiedBy>
  <cp:lastPrinted>2018-12-06T18:06:35Z</cp:lastPrinted>
  <dcterms:created xsi:type="dcterms:W3CDTF">2015-10-31T09:41:54Z</dcterms:created>
  <dcterms:modified xsi:type="dcterms:W3CDTF">2026-06-11T13:43:56Z</dcterms:modified>
</cp:coreProperties>
</file>